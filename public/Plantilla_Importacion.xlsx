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ga_de_Productos" state="visible" r:id="rId4"/>
    <sheet sheetId="2" name="Modelos" state="visible" r:id="rId5"/>
    <sheet sheetId="3" name="Diccionarios" state="visible" r:id="rId6"/>
    <sheet sheetId="4" name="Instrucciones" state="visible" r:id="rId7"/>
  </sheets>
  <calcPr calcId="171027" fullCalcOnLoad="1"/>
</workbook>
</file>

<file path=xl/sharedStrings.xml><?xml version="1.0" encoding="utf-8"?>
<sst xmlns="http://schemas.openxmlformats.org/spreadsheetml/2006/main" count="234" uniqueCount="189">
  <si>
    <t>Proveedor ▼</t>
  </si>
  <si>
    <t>Modelo ▼</t>
  </si>
  <si>
    <t>Color ▼</t>
  </si>
  <si>
    <t>Talle ▼</t>
  </si>
  <si>
    <t>Stock</t>
  </si>
  <si>
    <t>Código de barras</t>
  </si>
  <si>
    <t>Nombre</t>
  </si>
  <si>
    <t>Categoría</t>
  </si>
  <si>
    <t>Colección</t>
  </si>
  <si>
    <t>Tipo</t>
  </si>
  <si>
    <t>Diseño</t>
  </si>
  <si>
    <t>Color</t>
  </si>
  <si>
    <t>Talle</t>
  </si>
  <si>
    <t>Costo</t>
  </si>
  <si>
    <t>Precio efectivo</t>
  </si>
  <si>
    <t>Precio transferencia</t>
  </si>
  <si>
    <t>Proveedor</t>
  </si>
  <si>
    <t>Dirección proveedor</t>
  </si>
  <si>
    <t>Publicar</t>
  </si>
  <si>
    <t>Descripción</t>
  </si>
  <si>
    <t>stock</t>
  </si>
  <si>
    <t>barcode</t>
  </si>
  <si>
    <t>name</t>
  </si>
  <si>
    <t>category</t>
  </si>
  <si>
    <t>line</t>
  </si>
  <si>
    <t>type</t>
  </si>
  <si>
    <t>design</t>
  </si>
  <si>
    <t>color</t>
  </si>
  <si>
    <t>size</t>
  </si>
  <si>
    <t>price</t>
  </si>
  <si>
    <t>priceNormal</t>
  </si>
  <si>
    <t>priceTransfer</t>
  </si>
  <si>
    <t>supplierName</t>
  </si>
  <si>
    <t>supplierAddress</t>
  </si>
  <si>
    <t>isPublic</t>
  </si>
  <si>
    <t>publicDescription</t>
  </si>
  <si>
    <t xml:space="preserve">Código
(4 dígitos)</t>
  </si>
  <si>
    <t xml:space="preserve">Nombre del modelo
(así se ve en la tienda)</t>
  </si>
  <si>
    <t>Opción (auto)</t>
  </si>
  <si>
    <t>Publicar en tienda</t>
  </si>
  <si>
    <t>Descripción para la tienda (una vez por modelo)</t>
  </si>
  <si>
    <t>0001</t>
  </si>
  <si>
    <t>Jean Clásico</t>
  </si>
  <si>
    <t>Jeans</t>
  </si>
  <si>
    <t>Urbano</t>
  </si>
  <si>
    <t>Recto</t>
  </si>
  <si>
    <t>0002</t>
  </si>
  <si>
    <t>Jean Mom</t>
  </si>
  <si>
    <t>Mom</t>
  </si>
  <si>
    <t>0003</t>
  </si>
  <si>
    <t>Remera Oversize</t>
  </si>
  <si>
    <t>Remeras</t>
  </si>
  <si>
    <t>Oversize</t>
  </si>
  <si>
    <t>0004</t>
  </si>
  <si>
    <t>Remera Básica</t>
  </si>
  <si>
    <t>Regular</t>
  </si>
  <si>
    <t>0005</t>
  </si>
  <si>
    <t>Buzo Canguro</t>
  </si>
  <si>
    <t>Buzos</t>
  </si>
  <si>
    <t>Hoodie</t>
  </si>
  <si>
    <t>0006</t>
  </si>
  <si>
    <t>Remera Oversize Essential</t>
  </si>
  <si>
    <t>Logo</t>
  </si>
  <si>
    <t>Sí</t>
  </si>
  <si>
    <t>Remera oversize de algodón peinado 24/1, calce amplio y hombro caído. Logo BairesYa estampado en el pecho.</t>
  </si>
  <si>
    <t>0007</t>
  </si>
  <si>
    <t>Calza Deportiva Tiro Alto</t>
  </si>
  <si>
    <t>Pantalones</t>
  </si>
  <si>
    <t>Deportivo</t>
  </si>
  <si>
    <t>Calza</t>
  </si>
  <si>
    <t>Lisa</t>
  </si>
  <si>
    <t>Calza de lycra suplex con cintura alta y efecto compresión. No transparenta.</t>
  </si>
  <si>
    <t>0008</t>
  </si>
  <si>
    <t>Blazer Sastrero</t>
  </si>
  <si>
    <t>Sastrería</t>
  </si>
  <si>
    <t>Formal</t>
  </si>
  <si>
    <t>Blazer</t>
  </si>
  <si>
    <t>Liso</t>
  </si>
  <si>
    <t>Blazer entallado con botones al frente. Va con el pantalón sastrero o con jean y zapatillas.</t>
  </si>
  <si>
    <t>Cód. proveedor</t>
  </si>
  <si>
    <t>Dirección del proveedor</t>
  </si>
  <si>
    <t>Cód. color</t>
  </si>
  <si>
    <t>Talles</t>
  </si>
  <si>
    <t>Categorías</t>
  </si>
  <si>
    <t>Colecciones</t>
  </si>
  <si>
    <t>01</t>
  </si>
  <si>
    <t>Taverniti</t>
  </si>
  <si>
    <t>Av. Avellaneda 3000</t>
  </si>
  <si>
    <t>Azul</t>
  </si>
  <si>
    <t>XS</t>
  </si>
  <si>
    <t>02</t>
  </si>
  <si>
    <t>Levis</t>
  </si>
  <si>
    <t>Negro</t>
  </si>
  <si>
    <t>S</t>
  </si>
  <si>
    <t>Camisas</t>
  </si>
  <si>
    <t>No</t>
  </si>
  <si>
    <t>03</t>
  </si>
  <si>
    <t>MarcaLocal</t>
  </si>
  <si>
    <t>Blanco</t>
  </si>
  <si>
    <t>M</t>
  </si>
  <si>
    <t>99</t>
  </si>
  <si>
    <t>Genérico</t>
  </si>
  <si>
    <t>04</t>
  </si>
  <si>
    <t>Gris</t>
  </si>
  <si>
    <t>L</t>
  </si>
  <si>
    <t>Camperas</t>
  </si>
  <si>
    <t>05</t>
  </si>
  <si>
    <t>Rojo</t>
  </si>
  <si>
    <t>XL</t>
  </si>
  <si>
    <t>06</t>
  </si>
  <si>
    <t>Verde</t>
  </si>
  <si>
    <t>XXL</t>
  </si>
  <si>
    <t>07</t>
  </si>
  <si>
    <t>Azul marino</t>
  </si>
  <si>
    <t>Único</t>
  </si>
  <si>
    <t>Shorts</t>
  </si>
  <si>
    <t>08</t>
  </si>
  <si>
    <t>Azul jean</t>
  </si>
  <si>
    <t>30</t>
  </si>
  <si>
    <t>09</t>
  </si>
  <si>
    <t>Celeste</t>
  </si>
  <si>
    <t>32</t>
  </si>
  <si>
    <t>Accesorios</t>
  </si>
  <si>
    <t>10</t>
  </si>
  <si>
    <t>Beige</t>
  </si>
  <si>
    <t>34</t>
  </si>
  <si>
    <t>11</t>
  </si>
  <si>
    <t>Gris melange</t>
  </si>
  <si>
    <t>36</t>
  </si>
  <si>
    <t>12</t>
  </si>
  <si>
    <t>Verde militar</t>
  </si>
  <si>
    <t>38</t>
  </si>
  <si>
    <t>13</t>
  </si>
  <si>
    <t>Bordó</t>
  </si>
  <si>
    <t>40</t>
  </si>
  <si>
    <t>Varios</t>
  </si>
  <si>
    <t>42</t>
  </si>
  <si>
    <t>44</t>
  </si>
  <si>
    <t>46</t>
  </si>
  <si>
    <t>Cómo cargar productos en BairesYa</t>
  </si>
  <si>
    <t>Pasos</t>
  </si>
  <si>
    <t>1. Diccionarios</t>
  </si>
  <si>
    <t>Cargá una vez los proveedores, colores, talles y categorías. Los códigos de proveedor (2 dígitos) y color (2 dígitos) forman parte del código de barras.</t>
  </si>
  <si>
    <t>2. Modelos</t>
  </si>
  <si>
    <t>Cargá cada prenda una sola vez: nombre, categoría, colección, precios, si se publica en la tienda y la descripción. Todos sus talles y colores toman estos datos: la descripción se escribe una sola vez acá.</t>
  </si>
  <si>
    <t>3. Carga_de_Productos</t>
  </si>
  <si>
    <t>Una fila por cada combinación de talle y color: elegí Proveedor, Modelo, Color y Talle de las listas y escribí el Stock. Las columnas grises se completan solas.</t>
  </si>
  <si>
    <t>4. Importar</t>
  </si>
  <si>
    <t>Guardá el archivo y subilo en el panel: Importar Excel. Antes de confirmar vas a ver una vista previa con lo que se crea, lo que se actualiza y los errores.</t>
  </si>
  <si>
    <t>Reglas</t>
  </si>
  <si>
    <t>Proveedor (2) + Modelo (4) + Color (2) + Talle. Ej: 01 + 0003 + 02 + M = 01000302M. No cambies los códigos ya usados: cambiaría el código de barras de esos productos.</t>
  </si>
  <si>
    <t>Nombre del modelo</t>
  </si>
  <si>
    <t>La tienda agrupa en una sola ficha los productos con el mismo nombre (muestra los talles y colores disponibles). Usá siempre el mismo nombre para todas las variantes.</t>
  </si>
  <si>
    <t>Si el código ya existe</t>
  </si>
  <si>
    <t>El producto se actualiza con los datos del archivo y el stock se reemplaza por el de la fila (Stock vacío = 0).</t>
  </si>
  <si>
    <t>Precio distinto en una variante</t>
  </si>
  <si>
    <t>En Carga_de_Productos, escribí el número encima de la fórmula en esa fila (por ejemplo, un talle XXL más caro).</t>
  </si>
  <si>
    <t>Sí: el modelo se ve en la tienda. No: queda oculto. Vacío: no cambia; los productos nuevos quedan ocultos, salvo que el modelo ya esté publicado.</t>
  </si>
  <si>
    <t>Se muestra en la ficha del producto. Si está vacía no borra la que ya tiene el producto. Una variante nueva de un modelo ya cargado toma la descripción del modelo.</t>
  </si>
  <si>
    <t>Columnas que no estén</t>
  </si>
  <si>
    <t>Si borrás una columna de la hoja, la importación no modifica ese dato en los productos existentes.</t>
  </si>
  <si>
    <t>Límites</t>
  </si>
  <si>
    <t>Hasta 2000 filas por archivo. Descripción de hasta 2000 caracteres.</t>
  </si>
  <si>
    <t>Fotos</t>
  </si>
  <si>
    <t>Nombrá cada foto con el código de barras (columna F) + .jpg, por ejemplo 01000302M.jpg (portada). Para más fotos del mismo producto: 01000302M_2.jpg … _8. Juntalas en una carpeta y subilas con el script de fotos (npm run fotos). También se pueden subir de a una desde el inventario del panel. Sin foto, la tienda muestra el logo de BairesYa.</t>
  </si>
  <si>
    <t>Listas</t>
  </si>
  <si>
    <t>Cargá las opciones de Diccionarios y Modelos sin dejar filas vacías en el medio, así aparecen en las listas desplegables.</t>
  </si>
  <si>
    <t>Columnas de importación</t>
  </si>
  <si>
    <t>Clave (fila 2)</t>
  </si>
  <si>
    <t>Qué es</t>
  </si>
  <si>
    <t>barcode *</t>
  </si>
  <si>
    <t>Código de barras único del producto (obligatorio).</t>
  </si>
  <si>
    <t>name *</t>
  </si>
  <si>
    <t>Nombre del modelo (obligatorio).</t>
  </si>
  <si>
    <t>Categoría: Remeras, Jeans, Buzos…</t>
  </si>
  <si>
    <t>Colección: Deportivo, Urbano o Formal.</t>
  </si>
  <si>
    <t>type / design</t>
  </si>
  <si>
    <t>Tipo (Oversize, Mom, Hoodie…) y diseño (Liso, Logo…). Se muestran en la ficha.</t>
  </si>
  <si>
    <t>color / size</t>
  </si>
  <si>
    <t>Color y talle de la variante.</t>
  </si>
  <si>
    <t>Costo. No se muestra en la tienda ni a los empleados.</t>
  </si>
  <si>
    <t>priceNormal / priceTransfer</t>
  </si>
  <si>
    <t>Precio de venta en efectivo y por transferencia.</t>
  </si>
  <si>
    <t>Cantidad en stock. Reemplaza la actual.</t>
  </si>
  <si>
    <t>supplierName / supplierAddress</t>
  </si>
  <si>
    <t>Proveedor y su dirección (aparecen en la lista de compras).</t>
  </si>
  <si>
    <t>Publicar en la tienda: Sí o No.</t>
  </si>
  <si>
    <t>Descripción para la tienda.</t>
  </si>
  <si>
    <t>Si armás tu propio Excel, alcanza con que una de las primeras 5 filas tenga estas claves como encabezado.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</si>
</sst>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 #,##0"/>
  </numFmts>
  <fonts count="8" x14ac:knownFonts="1">
    <font>
      <color theme="1"/>
      <family val="2"/>
      <scheme val="minor"/>
      <sz val="11"/>
      <name val="Calibri"/>
    </font>
    <font>
      <b/>
      <color rgb="FFFFFFFF"/>
    </font>
    <font>
      <i/>
      <color rgb="FF8C8C8C"/>
      <sz val="9"/>
    </font>
    <font>
      <color rgb="FF595959"/>
    </font>
    <font>
      <b/>
      <sz val="16"/>
    </font>
    <font>
      <b/>
      <color rgb="FFFFFFFF"/>
      <sz val="12"/>
    </font>
    <font>
      <b/>
    </font>
    <font>
      <sz val="10"/>
      <name val="Consolas"/>
    </font>
  </fonts>
  <fills count="7">
    <fill>
      <patternFill patternType="none"/>
    </fill>
    <fill>
      <patternFill patternType="gray125"/>
    </fill>
    <fill>
      <patternFill patternType="solid">
        <fgColor rgb="FFB98900"/>
      </patternFill>
    </fill>
    <fill>
      <patternFill patternType="solid">
        <fgColor rgb="FF595959"/>
      </patternFill>
    </fill>
    <fill>
      <patternFill patternType="solid">
        <fgColor rgb="FFFFF4CC"/>
      </patternFill>
    </fill>
    <fill>
      <patternFill patternType="solid">
        <fgColor rgb="FFF2F2F2"/>
      </patternFill>
    </fill>
    <fill>
      <patternFill patternType="solid">
        <fgColor rgb="FF11111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4" borderId="1" xfId="0" applyFill="1" applyBorder="1"/>
    <xf numFmtId="49" fontId="0" fillId="4" borderId="1" xfId="0" applyNumberFormat="1" applyFill="1" applyBorder="1"/>
    <xf numFmtId="0" fontId="3" fillId="5" borderId="1" xfId="0" applyFont="1" applyFill="1" applyBorder="1"/>
    <xf numFmtId="164" fontId="3" fillId="5" borderId="1" xfId="0" applyNumberFormat="1" applyFont="1" applyFill="1" applyBorder="1"/>
    <xf numFmtId="49" fontId="0" fillId="0" borderId="0" xfId="0" applyNumberFormat="1"/>
    <xf numFmtId="0" fontId="3" fillId="5" borderId="0" xfId="0" applyFont="1" applyFill="1"/>
    <xf numFmtId="164" fontId="0" fillId="0" borderId="0" xfId="0" applyNumberFormat="1"/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0" fillId="6" borderId="0" xfId="0" applyFill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2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2" width="32" customWidth="1"/>
    <col min="3" max="3" width="18" customWidth="1"/>
    <col min="6" max="6" width="15" customWidth="1"/>
    <col min="7" max="7" width="28" customWidth="1"/>
    <col min="8" max="8" width="13" customWidth="1"/>
    <col min="9" max="11" width="12" customWidth="1"/>
    <col min="12" max="12" width="14" customWidth="1"/>
    <col min="13" max="13" width="8" customWidth="1"/>
    <col min="14" max="14" width="11" customWidth="1"/>
    <col min="15" max="15" width="12" customWidth="1"/>
    <col min="16" max="16" width="13" customWidth="1"/>
    <col min="17" max="17" width="16" customWidth="1"/>
    <col min="18" max="18" width="20" customWidth="1"/>
    <col min="20" max="20" width="40" customWidth="1"/>
  </cols>
  <sheetData>
    <row r="1" ht="32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/>
      <c r="B2" s="3"/>
      <c r="C2" s="3"/>
      <c r="D2" s="3"/>
      <c r="E2" s="3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29</v>
      </c>
      <c r="O2" s="4" t="s">
        <v>30</v>
      </c>
      <c r="P2" s="4" t="s">
        <v>31</v>
      </c>
      <c r="Q2" s="4" t="s">
        <v>32</v>
      </c>
      <c r="R2" s="4" t="s">
        <v>33</v>
      </c>
      <c r="S2" s="4" t="s">
        <v>34</v>
      </c>
      <c r="T2" s="4" t="s">
        <v>35</v>
      </c>
    </row>
    <row r="3" spans="1:20" x14ac:dyDescent="0.25">
      <c r="A3" s="5"/>
      <c r="B3" s="5"/>
      <c r="C3" s="5"/>
      <c r="D3" s="6"/>
      <c r="E3" s="5"/>
      <c r="F3" s="7" t="str">
        <f>IF(AND(A3&lt;&gt;"",B3&lt;&gt;"",C3&lt;&gt;"",D3&lt;&gt;""),LEFT(A3,2)&amp;LEFT(B3,4)&amp;LEFT(C3,2)&amp;SUBSTITUTE(UPPER(D3),"Ú","U"),"")</f>
        <v/>
      </c>
      <c r="G3" s="7" t="str">
        <f>IFERROR(INDEX(Modelos!$B$2:$B$301,MATCH($B3,Modelos!$C$2:$C$301,0))&amp;"","")</f>
        <v/>
      </c>
      <c r="H3" s="7" t="str">
        <f>IFERROR(INDEX(Modelos!$D$2:$D$301,MATCH($B3,Modelos!$C$2:$C$301,0))&amp;"","")</f>
        <v/>
      </c>
      <c r="I3" s="7" t="str">
        <f>IFERROR(INDEX(Modelos!$E$2:$E$301,MATCH($B3,Modelos!$C$2:$C$301,0))&amp;"","")</f>
        <v/>
      </c>
      <c r="J3" s="7" t="str">
        <f>IFERROR(INDEX(Modelos!$F$2:$F$301,MATCH($B3,Modelos!$C$2:$C$301,0))&amp;"","")</f>
        <v/>
      </c>
      <c r="K3" s="7" t="str">
        <f>IFERROR(INDEX(Modelos!$G$2:$G$301,MATCH($B3,Modelos!$C$2:$C$301,0))&amp;"","")</f>
        <v/>
      </c>
      <c r="L3" s="7" t="str">
        <f>IFERROR(INDEX(Diccionarios!$G$2:$G$201,MATCH($C3,Diccionarios!$H$2:$H$201,0))&amp;"","")</f>
        <v/>
      </c>
      <c r="M3" s="7" t="str">
        <f>IF(D3="","",D3&amp;"")</f>
        <v/>
      </c>
      <c r="N3" s="8" t="str">
        <f>IF($B3="","",IFERROR(INDEX(Modelos!$H$2:$H$301,MATCH($B3,Modelos!$C$2:$C$301,0)),""))</f>
        <v/>
      </c>
      <c r="O3" s="8" t="str">
        <f>IF($B3="","",IFERROR(INDEX(Modelos!$I$2:$I$301,MATCH($B3,Modelos!$C$2:$C$301,0)),""))</f>
        <v/>
      </c>
      <c r="P3" s="8" t="str">
        <f>IF($B3="","",IFERROR(INDEX(Modelos!$J$2:$J$301,MATCH($B3,Modelos!$C$2:$C$301,0)),""))</f>
        <v/>
      </c>
      <c r="Q3" s="7" t="str">
        <f>IFERROR(INDEX(Diccionarios!$B$2:$B$201,MATCH($A3,Diccionarios!$D$2:$D$201,0))&amp;"","")</f>
        <v/>
      </c>
      <c r="R3" s="7" t="str">
        <f>IFERROR(INDEX(Diccionarios!$C$2:$C$201,MATCH($A3,Diccionarios!$D$2:$D$201,0))&amp;"","")</f>
        <v/>
      </c>
      <c r="S3" s="7" t="str">
        <f>IFERROR(INDEX(Modelos!$K$2:$K$301,MATCH($B3,Modelos!$C$2:$C$301,0))&amp;"","")</f>
        <v/>
      </c>
      <c r="T3" s="7" t="str">
        <f>IFERROR(INDEX(Modelos!$L$2:$L$301,MATCH($B3,Modelos!$C$2:$C$301,0))&amp;"","")</f>
        <v/>
      </c>
    </row>
    <row r="4" spans="1:20" x14ac:dyDescent="0.25">
      <c r="A4" s="5"/>
      <c r="B4" s="5"/>
      <c r="C4" s="5"/>
      <c r="D4" s="6"/>
      <c r="E4" s="5"/>
      <c r="F4" s="7" t="str">
        <f>IF(AND(A4&lt;&gt;"",B4&lt;&gt;"",C4&lt;&gt;"",D4&lt;&gt;""),LEFT(A4,2)&amp;LEFT(B4,4)&amp;LEFT(C4,2)&amp;SUBSTITUTE(UPPER(D4),"Ú","U"),"")</f>
        <v/>
      </c>
      <c r="G4" s="7" t="str">
        <f>IFERROR(INDEX(Modelos!$B$2:$B$301,MATCH($B4,Modelos!$C$2:$C$301,0))&amp;"","")</f>
        <v/>
      </c>
      <c r="H4" s="7" t="str">
        <f>IFERROR(INDEX(Modelos!$D$2:$D$301,MATCH($B4,Modelos!$C$2:$C$301,0))&amp;"","")</f>
        <v/>
      </c>
      <c r="I4" s="7" t="str">
        <f>IFERROR(INDEX(Modelos!$E$2:$E$301,MATCH($B4,Modelos!$C$2:$C$301,0))&amp;"","")</f>
        <v/>
      </c>
      <c r="J4" s="7" t="str">
        <f>IFERROR(INDEX(Modelos!$F$2:$F$301,MATCH($B4,Modelos!$C$2:$C$301,0))&amp;"","")</f>
        <v/>
      </c>
      <c r="K4" s="7" t="str">
        <f>IFERROR(INDEX(Modelos!$G$2:$G$301,MATCH($B4,Modelos!$C$2:$C$301,0))&amp;"","")</f>
        <v/>
      </c>
      <c r="L4" s="7" t="str">
        <f>IFERROR(INDEX(Diccionarios!$G$2:$G$201,MATCH($C4,Diccionarios!$H$2:$H$201,0))&amp;"","")</f>
        <v/>
      </c>
      <c r="M4" s="7" t="str">
        <f>IF(D4="","",D4&amp;"")</f>
        <v/>
      </c>
      <c r="N4" s="8" t="str">
        <f>IF($B4="","",IFERROR(INDEX(Modelos!$H$2:$H$301,MATCH($B4,Modelos!$C$2:$C$301,0)),""))</f>
        <v/>
      </c>
      <c r="O4" s="8" t="str">
        <f>IF($B4="","",IFERROR(INDEX(Modelos!$I$2:$I$301,MATCH($B4,Modelos!$C$2:$C$301,0)),""))</f>
        <v/>
      </c>
      <c r="P4" s="8" t="str">
        <f>IF($B4="","",IFERROR(INDEX(Modelos!$J$2:$J$301,MATCH($B4,Modelos!$C$2:$C$301,0)),""))</f>
        <v/>
      </c>
      <c r="Q4" s="7" t="str">
        <f>IFERROR(INDEX(Diccionarios!$B$2:$B$201,MATCH($A4,Diccionarios!$D$2:$D$201,0))&amp;"","")</f>
        <v/>
      </c>
      <c r="R4" s="7" t="str">
        <f>IFERROR(INDEX(Diccionarios!$C$2:$C$201,MATCH($A4,Diccionarios!$D$2:$D$201,0))&amp;"","")</f>
        <v/>
      </c>
      <c r="S4" s="7" t="str">
        <f>IFERROR(INDEX(Modelos!$K$2:$K$301,MATCH($B4,Modelos!$C$2:$C$301,0))&amp;"","")</f>
        <v/>
      </c>
      <c r="T4" s="7" t="str">
        <f>IFERROR(INDEX(Modelos!$L$2:$L$301,MATCH($B4,Modelos!$C$2:$C$301,0))&amp;"","")</f>
        <v/>
      </c>
    </row>
    <row r="5" spans="1:20" x14ac:dyDescent="0.25">
      <c r="A5" s="5"/>
      <c r="B5" s="5"/>
      <c r="C5" s="5"/>
      <c r="D5" s="6"/>
      <c r="E5" s="5"/>
      <c r="F5" s="7" t="str">
        <f>IF(AND(A5&lt;&gt;"",B5&lt;&gt;"",C5&lt;&gt;"",D5&lt;&gt;""),LEFT(A5,2)&amp;LEFT(B5,4)&amp;LEFT(C5,2)&amp;SUBSTITUTE(UPPER(D5),"Ú","U"),"")</f>
        <v/>
      </c>
      <c r="G5" s="7" t="str">
        <f>IFERROR(INDEX(Modelos!$B$2:$B$301,MATCH($B5,Modelos!$C$2:$C$301,0))&amp;"","")</f>
        <v/>
      </c>
      <c r="H5" s="7" t="str">
        <f>IFERROR(INDEX(Modelos!$D$2:$D$301,MATCH($B5,Modelos!$C$2:$C$301,0))&amp;"","")</f>
        <v/>
      </c>
      <c r="I5" s="7" t="str">
        <f>IFERROR(INDEX(Modelos!$E$2:$E$301,MATCH($B5,Modelos!$C$2:$C$301,0))&amp;"","")</f>
        <v/>
      </c>
      <c r="J5" s="7" t="str">
        <f>IFERROR(INDEX(Modelos!$F$2:$F$301,MATCH($B5,Modelos!$C$2:$C$301,0))&amp;"","")</f>
        <v/>
      </c>
      <c r="K5" s="7" t="str">
        <f>IFERROR(INDEX(Modelos!$G$2:$G$301,MATCH($B5,Modelos!$C$2:$C$301,0))&amp;"","")</f>
        <v/>
      </c>
      <c r="L5" s="7" t="str">
        <f>IFERROR(INDEX(Diccionarios!$G$2:$G$201,MATCH($C5,Diccionarios!$H$2:$H$201,0))&amp;"","")</f>
        <v/>
      </c>
      <c r="M5" s="7" t="str">
        <f>IF(D5="","",D5&amp;"")</f>
        <v/>
      </c>
      <c r="N5" s="8" t="str">
        <f>IF($B5="","",IFERROR(INDEX(Modelos!$H$2:$H$301,MATCH($B5,Modelos!$C$2:$C$301,0)),""))</f>
        <v/>
      </c>
      <c r="O5" s="8" t="str">
        <f>IF($B5="","",IFERROR(INDEX(Modelos!$I$2:$I$301,MATCH($B5,Modelos!$C$2:$C$301,0)),""))</f>
        <v/>
      </c>
      <c r="P5" s="8" t="str">
        <f>IF($B5="","",IFERROR(INDEX(Modelos!$J$2:$J$301,MATCH($B5,Modelos!$C$2:$C$301,0)),""))</f>
        <v/>
      </c>
      <c r="Q5" s="7" t="str">
        <f>IFERROR(INDEX(Diccionarios!$B$2:$B$201,MATCH($A5,Diccionarios!$D$2:$D$201,0))&amp;"","")</f>
        <v/>
      </c>
      <c r="R5" s="7" t="str">
        <f>IFERROR(INDEX(Diccionarios!$C$2:$C$201,MATCH($A5,Diccionarios!$D$2:$D$201,0))&amp;"","")</f>
        <v/>
      </c>
      <c r="S5" s="7" t="str">
        <f>IFERROR(INDEX(Modelos!$K$2:$K$301,MATCH($B5,Modelos!$C$2:$C$301,0))&amp;"","")</f>
        <v/>
      </c>
      <c r="T5" s="7" t="str">
        <f>IFERROR(INDEX(Modelos!$L$2:$L$301,MATCH($B5,Modelos!$C$2:$C$301,0))&amp;"","")</f>
        <v/>
      </c>
    </row>
    <row r="6" spans="1:20" x14ac:dyDescent="0.25">
      <c r="A6" s="5"/>
      <c r="B6" s="5"/>
      <c r="C6" s="5"/>
      <c r="D6" s="6"/>
      <c r="E6" s="5"/>
      <c r="F6" s="7" t="str">
        <f>IF(AND(A6&lt;&gt;"",B6&lt;&gt;"",C6&lt;&gt;"",D6&lt;&gt;""),LEFT(A6,2)&amp;LEFT(B6,4)&amp;LEFT(C6,2)&amp;SUBSTITUTE(UPPER(D6),"Ú","U"),"")</f>
        <v/>
      </c>
      <c r="G6" s="7" t="str">
        <f>IFERROR(INDEX(Modelos!$B$2:$B$301,MATCH($B6,Modelos!$C$2:$C$301,0))&amp;"","")</f>
        <v/>
      </c>
      <c r="H6" s="7" t="str">
        <f>IFERROR(INDEX(Modelos!$D$2:$D$301,MATCH($B6,Modelos!$C$2:$C$301,0))&amp;"","")</f>
        <v/>
      </c>
      <c r="I6" s="7" t="str">
        <f>IFERROR(INDEX(Modelos!$E$2:$E$301,MATCH($B6,Modelos!$C$2:$C$301,0))&amp;"","")</f>
        <v/>
      </c>
      <c r="J6" s="7" t="str">
        <f>IFERROR(INDEX(Modelos!$F$2:$F$301,MATCH($B6,Modelos!$C$2:$C$301,0))&amp;"","")</f>
        <v/>
      </c>
      <c r="K6" s="7" t="str">
        <f>IFERROR(INDEX(Modelos!$G$2:$G$301,MATCH($B6,Modelos!$C$2:$C$301,0))&amp;"","")</f>
        <v/>
      </c>
      <c r="L6" s="7" t="str">
        <f>IFERROR(INDEX(Diccionarios!$G$2:$G$201,MATCH($C6,Diccionarios!$H$2:$H$201,0))&amp;"","")</f>
        <v/>
      </c>
      <c r="M6" s="7" t="str">
        <f>IF(D6="","",D6&amp;"")</f>
        <v/>
      </c>
      <c r="N6" s="8" t="str">
        <f>IF($B6="","",IFERROR(INDEX(Modelos!$H$2:$H$301,MATCH($B6,Modelos!$C$2:$C$301,0)),""))</f>
        <v/>
      </c>
      <c r="O6" s="8" t="str">
        <f>IF($B6="","",IFERROR(INDEX(Modelos!$I$2:$I$301,MATCH($B6,Modelos!$C$2:$C$301,0)),""))</f>
        <v/>
      </c>
      <c r="P6" s="8" t="str">
        <f>IF($B6="","",IFERROR(INDEX(Modelos!$J$2:$J$301,MATCH($B6,Modelos!$C$2:$C$301,0)),""))</f>
        <v/>
      </c>
      <c r="Q6" s="7" t="str">
        <f>IFERROR(INDEX(Diccionarios!$B$2:$B$201,MATCH($A6,Diccionarios!$D$2:$D$201,0))&amp;"","")</f>
        <v/>
      </c>
      <c r="R6" s="7" t="str">
        <f>IFERROR(INDEX(Diccionarios!$C$2:$C$201,MATCH($A6,Diccionarios!$D$2:$D$201,0))&amp;"","")</f>
        <v/>
      </c>
      <c r="S6" s="7" t="str">
        <f>IFERROR(INDEX(Modelos!$K$2:$K$301,MATCH($B6,Modelos!$C$2:$C$301,0))&amp;"","")</f>
        <v/>
      </c>
      <c r="T6" s="7" t="str">
        <f>IFERROR(INDEX(Modelos!$L$2:$L$301,MATCH($B6,Modelos!$C$2:$C$301,0))&amp;"","")</f>
        <v/>
      </c>
    </row>
    <row r="7" spans="1:20" x14ac:dyDescent="0.25">
      <c r="A7" s="5"/>
      <c r="B7" s="5"/>
      <c r="C7" s="5"/>
      <c r="D7" s="6"/>
      <c r="E7" s="5"/>
      <c r="F7" s="7" t="str">
        <f>IF(AND(A7&lt;&gt;"",B7&lt;&gt;"",C7&lt;&gt;"",D7&lt;&gt;""),LEFT(A7,2)&amp;LEFT(B7,4)&amp;LEFT(C7,2)&amp;SUBSTITUTE(UPPER(D7),"Ú","U"),"")</f>
        <v/>
      </c>
      <c r="G7" s="7" t="str">
        <f>IFERROR(INDEX(Modelos!$B$2:$B$301,MATCH($B7,Modelos!$C$2:$C$301,0))&amp;"","")</f>
        <v/>
      </c>
      <c r="H7" s="7" t="str">
        <f>IFERROR(INDEX(Modelos!$D$2:$D$301,MATCH($B7,Modelos!$C$2:$C$301,0))&amp;"","")</f>
        <v/>
      </c>
      <c r="I7" s="7" t="str">
        <f>IFERROR(INDEX(Modelos!$E$2:$E$301,MATCH($B7,Modelos!$C$2:$C$301,0))&amp;"","")</f>
        <v/>
      </c>
      <c r="J7" s="7" t="str">
        <f>IFERROR(INDEX(Modelos!$F$2:$F$301,MATCH($B7,Modelos!$C$2:$C$301,0))&amp;"","")</f>
        <v/>
      </c>
      <c r="K7" s="7" t="str">
        <f>IFERROR(INDEX(Modelos!$G$2:$G$301,MATCH($B7,Modelos!$C$2:$C$301,0))&amp;"","")</f>
        <v/>
      </c>
      <c r="L7" s="7" t="str">
        <f>IFERROR(INDEX(Diccionarios!$G$2:$G$201,MATCH($C7,Diccionarios!$H$2:$H$201,0))&amp;"","")</f>
        <v/>
      </c>
      <c r="M7" s="7" t="str">
        <f>IF(D7="","",D7&amp;"")</f>
        <v/>
      </c>
      <c r="N7" s="8" t="str">
        <f>IF($B7="","",IFERROR(INDEX(Modelos!$H$2:$H$301,MATCH($B7,Modelos!$C$2:$C$301,0)),""))</f>
        <v/>
      </c>
      <c r="O7" s="8" t="str">
        <f>IF($B7="","",IFERROR(INDEX(Modelos!$I$2:$I$301,MATCH($B7,Modelos!$C$2:$C$301,0)),""))</f>
        <v/>
      </c>
      <c r="P7" s="8" t="str">
        <f>IF($B7="","",IFERROR(INDEX(Modelos!$J$2:$J$301,MATCH($B7,Modelos!$C$2:$C$301,0)),""))</f>
        <v/>
      </c>
      <c r="Q7" s="7" t="str">
        <f>IFERROR(INDEX(Diccionarios!$B$2:$B$201,MATCH($A7,Diccionarios!$D$2:$D$201,0))&amp;"","")</f>
        <v/>
      </c>
      <c r="R7" s="7" t="str">
        <f>IFERROR(INDEX(Diccionarios!$C$2:$C$201,MATCH($A7,Diccionarios!$D$2:$D$201,0))&amp;"","")</f>
        <v/>
      </c>
      <c r="S7" s="7" t="str">
        <f>IFERROR(INDEX(Modelos!$K$2:$K$301,MATCH($B7,Modelos!$C$2:$C$301,0))&amp;"","")</f>
        <v/>
      </c>
      <c r="T7" s="7" t="str">
        <f>IFERROR(INDEX(Modelos!$L$2:$L$301,MATCH($B7,Modelos!$C$2:$C$301,0))&amp;"","")</f>
        <v/>
      </c>
    </row>
    <row r="8" spans="1:20" x14ac:dyDescent="0.25">
      <c r="A8" s="5"/>
      <c r="B8" s="5"/>
      <c r="C8" s="5"/>
      <c r="D8" s="6"/>
      <c r="E8" s="5"/>
      <c r="F8" s="7" t="str">
        <f>IF(AND(A8&lt;&gt;"",B8&lt;&gt;"",C8&lt;&gt;"",D8&lt;&gt;""),LEFT(A8,2)&amp;LEFT(B8,4)&amp;LEFT(C8,2)&amp;SUBSTITUTE(UPPER(D8),"Ú","U"),"")</f>
        <v/>
      </c>
      <c r="G8" s="7" t="str">
        <f>IFERROR(INDEX(Modelos!$B$2:$B$301,MATCH($B8,Modelos!$C$2:$C$301,0))&amp;"","")</f>
        <v/>
      </c>
      <c r="H8" s="7" t="str">
        <f>IFERROR(INDEX(Modelos!$D$2:$D$301,MATCH($B8,Modelos!$C$2:$C$301,0))&amp;"","")</f>
        <v/>
      </c>
      <c r="I8" s="7" t="str">
        <f>IFERROR(INDEX(Modelos!$E$2:$E$301,MATCH($B8,Modelos!$C$2:$C$301,0))&amp;"","")</f>
        <v/>
      </c>
      <c r="J8" s="7" t="str">
        <f>IFERROR(INDEX(Modelos!$F$2:$F$301,MATCH($B8,Modelos!$C$2:$C$301,0))&amp;"","")</f>
        <v/>
      </c>
      <c r="K8" s="7" t="str">
        <f>IFERROR(INDEX(Modelos!$G$2:$G$301,MATCH($B8,Modelos!$C$2:$C$301,0))&amp;"","")</f>
        <v/>
      </c>
      <c r="L8" s="7" t="str">
        <f>IFERROR(INDEX(Diccionarios!$G$2:$G$201,MATCH($C8,Diccionarios!$H$2:$H$201,0))&amp;"","")</f>
        <v/>
      </c>
      <c r="M8" s="7" t="str">
        <f>IF(D8="","",D8&amp;"")</f>
        <v/>
      </c>
      <c r="N8" s="8" t="str">
        <f>IF($B8="","",IFERROR(INDEX(Modelos!$H$2:$H$301,MATCH($B8,Modelos!$C$2:$C$301,0)),""))</f>
        <v/>
      </c>
      <c r="O8" s="8" t="str">
        <f>IF($B8="","",IFERROR(INDEX(Modelos!$I$2:$I$301,MATCH($B8,Modelos!$C$2:$C$301,0)),""))</f>
        <v/>
      </c>
      <c r="P8" s="8" t="str">
        <f>IF($B8="","",IFERROR(INDEX(Modelos!$J$2:$J$301,MATCH($B8,Modelos!$C$2:$C$301,0)),""))</f>
        <v/>
      </c>
      <c r="Q8" s="7" t="str">
        <f>IFERROR(INDEX(Diccionarios!$B$2:$B$201,MATCH($A8,Diccionarios!$D$2:$D$201,0))&amp;"","")</f>
        <v/>
      </c>
      <c r="R8" s="7" t="str">
        <f>IFERROR(INDEX(Diccionarios!$C$2:$C$201,MATCH($A8,Diccionarios!$D$2:$D$201,0))&amp;"","")</f>
        <v/>
      </c>
      <c r="S8" s="7" t="str">
        <f>IFERROR(INDEX(Modelos!$K$2:$K$301,MATCH($B8,Modelos!$C$2:$C$301,0))&amp;"","")</f>
        <v/>
      </c>
      <c r="T8" s="7" t="str">
        <f>IFERROR(INDEX(Modelos!$L$2:$L$301,MATCH($B8,Modelos!$C$2:$C$301,0))&amp;"","")</f>
        <v/>
      </c>
    </row>
    <row r="9" spans="1:20" x14ac:dyDescent="0.25">
      <c r="A9" s="5"/>
      <c r="B9" s="5"/>
      <c r="C9" s="5"/>
      <c r="D9" s="6"/>
      <c r="E9" s="5"/>
      <c r="F9" s="7" t="str">
        <f>IF(AND(A9&lt;&gt;"",B9&lt;&gt;"",C9&lt;&gt;"",D9&lt;&gt;""),LEFT(A9,2)&amp;LEFT(B9,4)&amp;LEFT(C9,2)&amp;SUBSTITUTE(UPPER(D9),"Ú","U"),"")</f>
        <v/>
      </c>
      <c r="G9" s="7" t="str">
        <f>IFERROR(INDEX(Modelos!$B$2:$B$301,MATCH($B9,Modelos!$C$2:$C$301,0))&amp;"","")</f>
        <v/>
      </c>
      <c r="H9" s="7" t="str">
        <f>IFERROR(INDEX(Modelos!$D$2:$D$301,MATCH($B9,Modelos!$C$2:$C$301,0))&amp;"","")</f>
        <v/>
      </c>
      <c r="I9" s="7" t="str">
        <f>IFERROR(INDEX(Modelos!$E$2:$E$301,MATCH($B9,Modelos!$C$2:$C$301,0))&amp;"","")</f>
        <v/>
      </c>
      <c r="J9" s="7" t="str">
        <f>IFERROR(INDEX(Modelos!$F$2:$F$301,MATCH($B9,Modelos!$C$2:$C$301,0))&amp;"","")</f>
        <v/>
      </c>
      <c r="K9" s="7" t="str">
        <f>IFERROR(INDEX(Modelos!$G$2:$G$301,MATCH($B9,Modelos!$C$2:$C$301,0))&amp;"","")</f>
        <v/>
      </c>
      <c r="L9" s="7" t="str">
        <f>IFERROR(INDEX(Diccionarios!$G$2:$G$201,MATCH($C9,Diccionarios!$H$2:$H$201,0))&amp;"","")</f>
        <v/>
      </c>
      <c r="M9" s="7" t="str">
        <f>IF(D9="","",D9&amp;"")</f>
        <v/>
      </c>
      <c r="N9" s="8" t="str">
        <f>IF($B9="","",IFERROR(INDEX(Modelos!$H$2:$H$301,MATCH($B9,Modelos!$C$2:$C$301,0)),""))</f>
        <v/>
      </c>
      <c r="O9" s="8" t="str">
        <f>IF($B9="","",IFERROR(INDEX(Modelos!$I$2:$I$301,MATCH($B9,Modelos!$C$2:$C$301,0)),""))</f>
        <v/>
      </c>
      <c r="P9" s="8" t="str">
        <f>IF($B9="","",IFERROR(INDEX(Modelos!$J$2:$J$301,MATCH($B9,Modelos!$C$2:$C$301,0)),""))</f>
        <v/>
      </c>
      <c r="Q9" s="7" t="str">
        <f>IFERROR(INDEX(Diccionarios!$B$2:$B$201,MATCH($A9,Diccionarios!$D$2:$D$201,0))&amp;"","")</f>
        <v/>
      </c>
      <c r="R9" s="7" t="str">
        <f>IFERROR(INDEX(Diccionarios!$C$2:$C$201,MATCH($A9,Diccionarios!$D$2:$D$201,0))&amp;"","")</f>
        <v/>
      </c>
      <c r="S9" s="7" t="str">
        <f>IFERROR(INDEX(Modelos!$K$2:$K$301,MATCH($B9,Modelos!$C$2:$C$301,0))&amp;"","")</f>
        <v/>
      </c>
      <c r="T9" s="7" t="str">
        <f>IFERROR(INDEX(Modelos!$L$2:$L$301,MATCH($B9,Modelos!$C$2:$C$301,0))&amp;"","")</f>
        <v/>
      </c>
    </row>
    <row r="10" spans="1:20" x14ac:dyDescent="0.25">
      <c r="A10" s="5"/>
      <c r="B10" s="5"/>
      <c r="C10" s="5"/>
      <c r="D10" s="6"/>
      <c r="E10" s="5"/>
      <c r="F10" s="7" t="str">
        <f>IF(AND(A10&lt;&gt;"",B10&lt;&gt;"",C10&lt;&gt;"",D10&lt;&gt;""),LEFT(A10,2)&amp;LEFT(B10,4)&amp;LEFT(C10,2)&amp;SUBSTITUTE(UPPER(D10),"Ú","U"),"")</f>
        <v/>
      </c>
      <c r="G10" s="7" t="str">
        <f>IFERROR(INDEX(Modelos!$B$2:$B$301,MATCH($B10,Modelos!$C$2:$C$301,0))&amp;"","")</f>
        <v/>
      </c>
      <c r="H10" s="7" t="str">
        <f>IFERROR(INDEX(Modelos!$D$2:$D$301,MATCH($B10,Modelos!$C$2:$C$301,0))&amp;"","")</f>
        <v/>
      </c>
      <c r="I10" s="7" t="str">
        <f>IFERROR(INDEX(Modelos!$E$2:$E$301,MATCH($B10,Modelos!$C$2:$C$301,0))&amp;"","")</f>
        <v/>
      </c>
      <c r="J10" s="7" t="str">
        <f>IFERROR(INDEX(Modelos!$F$2:$F$301,MATCH($B10,Modelos!$C$2:$C$301,0))&amp;"","")</f>
        <v/>
      </c>
      <c r="K10" s="7" t="str">
        <f>IFERROR(INDEX(Modelos!$G$2:$G$301,MATCH($B10,Modelos!$C$2:$C$301,0))&amp;"","")</f>
        <v/>
      </c>
      <c r="L10" s="7" t="str">
        <f>IFERROR(INDEX(Diccionarios!$G$2:$G$201,MATCH($C10,Diccionarios!$H$2:$H$201,0))&amp;"","")</f>
        <v/>
      </c>
      <c r="M10" s="7" t="str">
        <f>IF(D10="","",D10&amp;"")</f>
        <v/>
      </c>
      <c r="N10" s="8" t="str">
        <f>IF($B10="","",IFERROR(INDEX(Modelos!$H$2:$H$301,MATCH($B10,Modelos!$C$2:$C$301,0)),""))</f>
        <v/>
      </c>
      <c r="O10" s="8" t="str">
        <f>IF($B10="","",IFERROR(INDEX(Modelos!$I$2:$I$301,MATCH($B10,Modelos!$C$2:$C$301,0)),""))</f>
        <v/>
      </c>
      <c r="P10" s="8" t="str">
        <f>IF($B10="","",IFERROR(INDEX(Modelos!$J$2:$J$301,MATCH($B10,Modelos!$C$2:$C$301,0)),""))</f>
        <v/>
      </c>
      <c r="Q10" s="7" t="str">
        <f>IFERROR(INDEX(Diccionarios!$B$2:$B$201,MATCH($A10,Diccionarios!$D$2:$D$201,0))&amp;"","")</f>
        <v/>
      </c>
      <c r="R10" s="7" t="str">
        <f>IFERROR(INDEX(Diccionarios!$C$2:$C$201,MATCH($A10,Diccionarios!$D$2:$D$201,0))&amp;"","")</f>
        <v/>
      </c>
      <c r="S10" s="7" t="str">
        <f>IFERROR(INDEX(Modelos!$K$2:$K$301,MATCH($B10,Modelos!$C$2:$C$301,0))&amp;"","")</f>
        <v/>
      </c>
      <c r="T10" s="7" t="str">
        <f>IFERROR(INDEX(Modelos!$L$2:$L$301,MATCH($B10,Modelos!$C$2:$C$301,0))&amp;"","")</f>
        <v/>
      </c>
    </row>
    <row r="11" spans="1:20" x14ac:dyDescent="0.25">
      <c r="A11" s="5"/>
      <c r="B11" s="5"/>
      <c r="C11" s="5"/>
      <c r="D11" s="6"/>
      <c r="E11" s="5"/>
      <c r="F11" s="7" t="str">
        <f>IF(AND(A11&lt;&gt;"",B11&lt;&gt;"",C11&lt;&gt;"",D11&lt;&gt;""),LEFT(A11,2)&amp;LEFT(B11,4)&amp;LEFT(C11,2)&amp;SUBSTITUTE(UPPER(D11),"Ú","U"),"")</f>
        <v/>
      </c>
      <c r="G11" s="7" t="str">
        <f>IFERROR(INDEX(Modelos!$B$2:$B$301,MATCH($B11,Modelos!$C$2:$C$301,0))&amp;"","")</f>
        <v/>
      </c>
      <c r="H11" s="7" t="str">
        <f>IFERROR(INDEX(Modelos!$D$2:$D$301,MATCH($B11,Modelos!$C$2:$C$301,0))&amp;"","")</f>
        <v/>
      </c>
      <c r="I11" s="7" t="str">
        <f>IFERROR(INDEX(Modelos!$E$2:$E$301,MATCH($B11,Modelos!$C$2:$C$301,0))&amp;"","")</f>
        <v/>
      </c>
      <c r="J11" s="7" t="str">
        <f>IFERROR(INDEX(Modelos!$F$2:$F$301,MATCH($B11,Modelos!$C$2:$C$301,0))&amp;"","")</f>
        <v/>
      </c>
      <c r="K11" s="7" t="str">
        <f>IFERROR(INDEX(Modelos!$G$2:$G$301,MATCH($B11,Modelos!$C$2:$C$301,0))&amp;"","")</f>
        <v/>
      </c>
      <c r="L11" s="7" t="str">
        <f>IFERROR(INDEX(Diccionarios!$G$2:$G$201,MATCH($C11,Diccionarios!$H$2:$H$201,0))&amp;"","")</f>
        <v/>
      </c>
      <c r="M11" s="7" t="str">
        <f>IF(D11="","",D11&amp;"")</f>
        <v/>
      </c>
      <c r="N11" s="8" t="str">
        <f>IF($B11="","",IFERROR(INDEX(Modelos!$H$2:$H$301,MATCH($B11,Modelos!$C$2:$C$301,0)),""))</f>
        <v/>
      </c>
      <c r="O11" s="8" t="str">
        <f>IF($B11="","",IFERROR(INDEX(Modelos!$I$2:$I$301,MATCH($B11,Modelos!$C$2:$C$301,0)),""))</f>
        <v/>
      </c>
      <c r="P11" s="8" t="str">
        <f>IF($B11="","",IFERROR(INDEX(Modelos!$J$2:$J$301,MATCH($B11,Modelos!$C$2:$C$301,0)),""))</f>
        <v/>
      </c>
      <c r="Q11" s="7" t="str">
        <f>IFERROR(INDEX(Diccionarios!$B$2:$B$201,MATCH($A11,Diccionarios!$D$2:$D$201,0))&amp;"","")</f>
        <v/>
      </c>
      <c r="R11" s="7" t="str">
        <f>IFERROR(INDEX(Diccionarios!$C$2:$C$201,MATCH($A11,Diccionarios!$D$2:$D$201,0))&amp;"","")</f>
        <v/>
      </c>
      <c r="S11" s="7" t="str">
        <f>IFERROR(INDEX(Modelos!$K$2:$K$301,MATCH($B11,Modelos!$C$2:$C$301,0))&amp;"","")</f>
        <v/>
      </c>
      <c r="T11" s="7" t="str">
        <f>IFERROR(INDEX(Modelos!$L$2:$L$301,MATCH($B11,Modelos!$C$2:$C$301,0))&amp;"","")</f>
        <v/>
      </c>
    </row>
    <row r="12" spans="1:20" x14ac:dyDescent="0.25">
      <c r="A12" s="5"/>
      <c r="B12" s="5"/>
      <c r="C12" s="5"/>
      <c r="D12" s="6"/>
      <c r="E12" s="5"/>
      <c r="F12" s="7" t="str">
        <f>IF(AND(A12&lt;&gt;"",B12&lt;&gt;"",C12&lt;&gt;"",D12&lt;&gt;""),LEFT(A12,2)&amp;LEFT(B12,4)&amp;LEFT(C12,2)&amp;SUBSTITUTE(UPPER(D12),"Ú","U"),"")</f>
        <v/>
      </c>
      <c r="G12" s="7" t="str">
        <f>IFERROR(INDEX(Modelos!$B$2:$B$301,MATCH($B12,Modelos!$C$2:$C$301,0))&amp;"","")</f>
        <v/>
      </c>
      <c r="H12" s="7" t="str">
        <f>IFERROR(INDEX(Modelos!$D$2:$D$301,MATCH($B12,Modelos!$C$2:$C$301,0))&amp;"","")</f>
        <v/>
      </c>
      <c r="I12" s="7" t="str">
        <f>IFERROR(INDEX(Modelos!$E$2:$E$301,MATCH($B12,Modelos!$C$2:$C$301,0))&amp;"","")</f>
        <v/>
      </c>
      <c r="J12" s="7" t="str">
        <f>IFERROR(INDEX(Modelos!$F$2:$F$301,MATCH($B12,Modelos!$C$2:$C$301,0))&amp;"","")</f>
        <v/>
      </c>
      <c r="K12" s="7" t="str">
        <f>IFERROR(INDEX(Modelos!$G$2:$G$301,MATCH($B12,Modelos!$C$2:$C$301,0))&amp;"","")</f>
        <v/>
      </c>
      <c r="L12" s="7" t="str">
        <f>IFERROR(INDEX(Diccionarios!$G$2:$G$201,MATCH($C12,Diccionarios!$H$2:$H$201,0))&amp;"","")</f>
        <v/>
      </c>
      <c r="M12" s="7" t="str">
        <f>IF(D12="","",D12&amp;"")</f>
        <v/>
      </c>
      <c r="N12" s="8" t="str">
        <f>IF($B12="","",IFERROR(INDEX(Modelos!$H$2:$H$301,MATCH($B12,Modelos!$C$2:$C$301,0)),""))</f>
        <v/>
      </c>
      <c r="O12" s="8" t="str">
        <f>IF($B12="","",IFERROR(INDEX(Modelos!$I$2:$I$301,MATCH($B12,Modelos!$C$2:$C$301,0)),""))</f>
        <v/>
      </c>
      <c r="P12" s="8" t="str">
        <f>IF($B12="","",IFERROR(INDEX(Modelos!$J$2:$J$301,MATCH($B12,Modelos!$C$2:$C$301,0)),""))</f>
        <v/>
      </c>
      <c r="Q12" s="7" t="str">
        <f>IFERROR(INDEX(Diccionarios!$B$2:$B$201,MATCH($A12,Diccionarios!$D$2:$D$201,0))&amp;"","")</f>
        <v/>
      </c>
      <c r="R12" s="7" t="str">
        <f>IFERROR(INDEX(Diccionarios!$C$2:$C$201,MATCH($A12,Diccionarios!$D$2:$D$201,0))&amp;"","")</f>
        <v/>
      </c>
      <c r="S12" s="7" t="str">
        <f>IFERROR(INDEX(Modelos!$K$2:$K$301,MATCH($B12,Modelos!$C$2:$C$301,0))&amp;"","")</f>
        <v/>
      </c>
      <c r="T12" s="7" t="str">
        <f>IFERROR(INDEX(Modelos!$L$2:$L$301,MATCH($B12,Modelos!$C$2:$C$301,0))&amp;"","")</f>
        <v/>
      </c>
    </row>
    <row r="13" spans="1:20" x14ac:dyDescent="0.25">
      <c r="A13" s="5"/>
      <c r="B13" s="5"/>
      <c r="C13" s="5"/>
      <c r="D13" s="6"/>
      <c r="E13" s="5"/>
      <c r="F13" s="7" t="str">
        <f>IF(AND(A13&lt;&gt;"",B13&lt;&gt;"",C13&lt;&gt;"",D13&lt;&gt;""),LEFT(A13,2)&amp;LEFT(B13,4)&amp;LEFT(C13,2)&amp;SUBSTITUTE(UPPER(D13),"Ú","U"),"")</f>
        <v/>
      </c>
      <c r="G13" s="7" t="str">
        <f>IFERROR(INDEX(Modelos!$B$2:$B$301,MATCH($B13,Modelos!$C$2:$C$301,0))&amp;"","")</f>
        <v/>
      </c>
      <c r="H13" s="7" t="str">
        <f>IFERROR(INDEX(Modelos!$D$2:$D$301,MATCH($B13,Modelos!$C$2:$C$301,0))&amp;"","")</f>
        <v/>
      </c>
      <c r="I13" s="7" t="str">
        <f>IFERROR(INDEX(Modelos!$E$2:$E$301,MATCH($B13,Modelos!$C$2:$C$301,0))&amp;"","")</f>
        <v/>
      </c>
      <c r="J13" s="7" t="str">
        <f>IFERROR(INDEX(Modelos!$F$2:$F$301,MATCH($B13,Modelos!$C$2:$C$301,0))&amp;"","")</f>
        <v/>
      </c>
      <c r="K13" s="7" t="str">
        <f>IFERROR(INDEX(Modelos!$G$2:$G$301,MATCH($B13,Modelos!$C$2:$C$301,0))&amp;"","")</f>
        <v/>
      </c>
      <c r="L13" s="7" t="str">
        <f>IFERROR(INDEX(Diccionarios!$G$2:$G$201,MATCH($C13,Diccionarios!$H$2:$H$201,0))&amp;"","")</f>
        <v/>
      </c>
      <c r="M13" s="7" t="str">
        <f>IF(D13="","",D13&amp;"")</f>
        <v/>
      </c>
      <c r="N13" s="8" t="str">
        <f>IF($B13="","",IFERROR(INDEX(Modelos!$H$2:$H$301,MATCH($B13,Modelos!$C$2:$C$301,0)),""))</f>
        <v/>
      </c>
      <c r="O13" s="8" t="str">
        <f>IF($B13="","",IFERROR(INDEX(Modelos!$I$2:$I$301,MATCH($B13,Modelos!$C$2:$C$301,0)),""))</f>
        <v/>
      </c>
      <c r="P13" s="8" t="str">
        <f>IF($B13="","",IFERROR(INDEX(Modelos!$J$2:$J$301,MATCH($B13,Modelos!$C$2:$C$301,0)),""))</f>
        <v/>
      </c>
      <c r="Q13" s="7" t="str">
        <f>IFERROR(INDEX(Diccionarios!$B$2:$B$201,MATCH($A13,Diccionarios!$D$2:$D$201,0))&amp;"","")</f>
        <v/>
      </c>
      <c r="R13" s="7" t="str">
        <f>IFERROR(INDEX(Diccionarios!$C$2:$C$201,MATCH($A13,Diccionarios!$D$2:$D$201,0))&amp;"","")</f>
        <v/>
      </c>
      <c r="S13" s="7" t="str">
        <f>IFERROR(INDEX(Modelos!$K$2:$K$301,MATCH($B13,Modelos!$C$2:$C$301,0))&amp;"","")</f>
        <v/>
      </c>
      <c r="T13" s="7" t="str">
        <f>IFERROR(INDEX(Modelos!$L$2:$L$301,MATCH($B13,Modelos!$C$2:$C$301,0))&amp;"","")</f>
        <v/>
      </c>
    </row>
    <row r="14" spans="1:20" x14ac:dyDescent="0.25">
      <c r="A14" s="5"/>
      <c r="B14" s="5"/>
      <c r="C14" s="5"/>
      <c r="D14" s="6"/>
      <c r="E14" s="5"/>
      <c r="F14" s="7" t="str">
        <f>IF(AND(A14&lt;&gt;"",B14&lt;&gt;"",C14&lt;&gt;"",D14&lt;&gt;""),LEFT(A14,2)&amp;LEFT(B14,4)&amp;LEFT(C14,2)&amp;SUBSTITUTE(UPPER(D14),"Ú","U"),"")</f>
        <v/>
      </c>
      <c r="G14" s="7" t="str">
        <f>IFERROR(INDEX(Modelos!$B$2:$B$301,MATCH($B14,Modelos!$C$2:$C$301,0))&amp;"","")</f>
        <v/>
      </c>
      <c r="H14" s="7" t="str">
        <f>IFERROR(INDEX(Modelos!$D$2:$D$301,MATCH($B14,Modelos!$C$2:$C$301,0))&amp;"","")</f>
        <v/>
      </c>
      <c r="I14" s="7" t="str">
        <f>IFERROR(INDEX(Modelos!$E$2:$E$301,MATCH($B14,Modelos!$C$2:$C$301,0))&amp;"","")</f>
        <v/>
      </c>
      <c r="J14" s="7" t="str">
        <f>IFERROR(INDEX(Modelos!$F$2:$F$301,MATCH($B14,Modelos!$C$2:$C$301,0))&amp;"","")</f>
        <v/>
      </c>
      <c r="K14" s="7" t="str">
        <f>IFERROR(INDEX(Modelos!$G$2:$G$301,MATCH($B14,Modelos!$C$2:$C$301,0))&amp;"","")</f>
        <v/>
      </c>
      <c r="L14" s="7" t="str">
        <f>IFERROR(INDEX(Diccionarios!$G$2:$G$201,MATCH($C14,Diccionarios!$H$2:$H$201,0))&amp;"","")</f>
        <v/>
      </c>
      <c r="M14" s="7" t="str">
        <f>IF(D14="","",D14&amp;"")</f>
        <v/>
      </c>
      <c r="N14" s="8" t="str">
        <f>IF($B14="","",IFERROR(INDEX(Modelos!$H$2:$H$301,MATCH($B14,Modelos!$C$2:$C$301,0)),""))</f>
        <v/>
      </c>
      <c r="O14" s="8" t="str">
        <f>IF($B14="","",IFERROR(INDEX(Modelos!$I$2:$I$301,MATCH($B14,Modelos!$C$2:$C$301,0)),""))</f>
        <v/>
      </c>
      <c r="P14" s="8" t="str">
        <f>IF($B14="","",IFERROR(INDEX(Modelos!$J$2:$J$301,MATCH($B14,Modelos!$C$2:$C$301,0)),""))</f>
        <v/>
      </c>
      <c r="Q14" s="7" t="str">
        <f>IFERROR(INDEX(Diccionarios!$B$2:$B$201,MATCH($A14,Diccionarios!$D$2:$D$201,0))&amp;"","")</f>
        <v/>
      </c>
      <c r="R14" s="7" t="str">
        <f>IFERROR(INDEX(Diccionarios!$C$2:$C$201,MATCH($A14,Diccionarios!$D$2:$D$201,0))&amp;"","")</f>
        <v/>
      </c>
      <c r="S14" s="7" t="str">
        <f>IFERROR(INDEX(Modelos!$K$2:$K$301,MATCH($B14,Modelos!$C$2:$C$301,0))&amp;"","")</f>
        <v/>
      </c>
      <c r="T14" s="7" t="str">
        <f>IFERROR(INDEX(Modelos!$L$2:$L$301,MATCH($B14,Modelos!$C$2:$C$301,0))&amp;"","")</f>
        <v/>
      </c>
    </row>
    <row r="15" spans="1:20" x14ac:dyDescent="0.25">
      <c r="A15" s="5"/>
      <c r="B15" s="5"/>
      <c r="C15" s="5"/>
      <c r="D15" s="6"/>
      <c r="E15" s="5"/>
      <c r="F15" s="7" t="str">
        <f>IF(AND(A15&lt;&gt;"",B15&lt;&gt;"",C15&lt;&gt;"",D15&lt;&gt;""),LEFT(A15,2)&amp;LEFT(B15,4)&amp;LEFT(C15,2)&amp;SUBSTITUTE(UPPER(D15),"Ú","U"),"")</f>
        <v/>
      </c>
      <c r="G15" s="7" t="str">
        <f>IFERROR(INDEX(Modelos!$B$2:$B$301,MATCH($B15,Modelos!$C$2:$C$301,0))&amp;"","")</f>
        <v/>
      </c>
      <c r="H15" s="7" t="str">
        <f>IFERROR(INDEX(Modelos!$D$2:$D$301,MATCH($B15,Modelos!$C$2:$C$301,0))&amp;"","")</f>
        <v/>
      </c>
      <c r="I15" s="7" t="str">
        <f>IFERROR(INDEX(Modelos!$E$2:$E$301,MATCH($B15,Modelos!$C$2:$C$301,0))&amp;"","")</f>
        <v/>
      </c>
      <c r="J15" s="7" t="str">
        <f>IFERROR(INDEX(Modelos!$F$2:$F$301,MATCH($B15,Modelos!$C$2:$C$301,0))&amp;"","")</f>
        <v/>
      </c>
      <c r="K15" s="7" t="str">
        <f>IFERROR(INDEX(Modelos!$G$2:$G$301,MATCH($B15,Modelos!$C$2:$C$301,0))&amp;"","")</f>
        <v/>
      </c>
      <c r="L15" s="7" t="str">
        <f>IFERROR(INDEX(Diccionarios!$G$2:$G$201,MATCH($C15,Diccionarios!$H$2:$H$201,0))&amp;"","")</f>
        <v/>
      </c>
      <c r="M15" s="7" t="str">
        <f>IF(D15="","",D15&amp;"")</f>
        <v/>
      </c>
      <c r="N15" s="8" t="str">
        <f>IF($B15="","",IFERROR(INDEX(Modelos!$H$2:$H$301,MATCH($B15,Modelos!$C$2:$C$301,0)),""))</f>
        <v/>
      </c>
      <c r="O15" s="8" t="str">
        <f>IF($B15="","",IFERROR(INDEX(Modelos!$I$2:$I$301,MATCH($B15,Modelos!$C$2:$C$301,0)),""))</f>
        <v/>
      </c>
      <c r="P15" s="8" t="str">
        <f>IF($B15="","",IFERROR(INDEX(Modelos!$J$2:$J$301,MATCH($B15,Modelos!$C$2:$C$301,0)),""))</f>
        <v/>
      </c>
      <c r="Q15" s="7" t="str">
        <f>IFERROR(INDEX(Diccionarios!$B$2:$B$201,MATCH($A15,Diccionarios!$D$2:$D$201,0))&amp;"","")</f>
        <v/>
      </c>
      <c r="R15" s="7" t="str">
        <f>IFERROR(INDEX(Diccionarios!$C$2:$C$201,MATCH($A15,Diccionarios!$D$2:$D$201,0))&amp;"","")</f>
        <v/>
      </c>
      <c r="S15" s="7" t="str">
        <f>IFERROR(INDEX(Modelos!$K$2:$K$301,MATCH($B15,Modelos!$C$2:$C$301,0))&amp;"","")</f>
        <v/>
      </c>
      <c r="T15" s="7" t="str">
        <f>IFERROR(INDEX(Modelos!$L$2:$L$301,MATCH($B15,Modelos!$C$2:$C$301,0))&amp;"","")</f>
        <v/>
      </c>
    </row>
    <row r="16" spans="1:20" x14ac:dyDescent="0.25">
      <c r="A16" s="5"/>
      <c r="B16" s="5"/>
      <c r="C16" s="5"/>
      <c r="D16" s="6"/>
      <c r="E16" s="5"/>
      <c r="F16" s="7" t="str">
        <f>IF(AND(A16&lt;&gt;"",B16&lt;&gt;"",C16&lt;&gt;"",D16&lt;&gt;""),LEFT(A16,2)&amp;LEFT(B16,4)&amp;LEFT(C16,2)&amp;SUBSTITUTE(UPPER(D16),"Ú","U"),"")</f>
        <v/>
      </c>
      <c r="G16" s="7" t="str">
        <f>IFERROR(INDEX(Modelos!$B$2:$B$301,MATCH($B16,Modelos!$C$2:$C$301,0))&amp;"","")</f>
        <v/>
      </c>
      <c r="H16" s="7" t="str">
        <f>IFERROR(INDEX(Modelos!$D$2:$D$301,MATCH($B16,Modelos!$C$2:$C$301,0))&amp;"","")</f>
        <v/>
      </c>
      <c r="I16" s="7" t="str">
        <f>IFERROR(INDEX(Modelos!$E$2:$E$301,MATCH($B16,Modelos!$C$2:$C$301,0))&amp;"","")</f>
        <v/>
      </c>
      <c r="J16" s="7" t="str">
        <f>IFERROR(INDEX(Modelos!$F$2:$F$301,MATCH($B16,Modelos!$C$2:$C$301,0))&amp;"","")</f>
        <v/>
      </c>
      <c r="K16" s="7" t="str">
        <f>IFERROR(INDEX(Modelos!$G$2:$G$301,MATCH($B16,Modelos!$C$2:$C$301,0))&amp;"","")</f>
        <v/>
      </c>
      <c r="L16" s="7" t="str">
        <f>IFERROR(INDEX(Diccionarios!$G$2:$G$201,MATCH($C16,Diccionarios!$H$2:$H$201,0))&amp;"","")</f>
        <v/>
      </c>
      <c r="M16" s="7" t="str">
        <f>IF(D16="","",D16&amp;"")</f>
        <v/>
      </c>
      <c r="N16" s="8" t="str">
        <f>IF($B16="","",IFERROR(INDEX(Modelos!$H$2:$H$301,MATCH($B16,Modelos!$C$2:$C$301,0)),""))</f>
        <v/>
      </c>
      <c r="O16" s="8" t="str">
        <f>IF($B16="","",IFERROR(INDEX(Modelos!$I$2:$I$301,MATCH($B16,Modelos!$C$2:$C$301,0)),""))</f>
        <v/>
      </c>
      <c r="P16" s="8" t="str">
        <f>IF($B16="","",IFERROR(INDEX(Modelos!$J$2:$J$301,MATCH($B16,Modelos!$C$2:$C$301,0)),""))</f>
        <v/>
      </c>
      <c r="Q16" s="7" t="str">
        <f>IFERROR(INDEX(Diccionarios!$B$2:$B$201,MATCH($A16,Diccionarios!$D$2:$D$201,0))&amp;"","")</f>
        <v/>
      </c>
      <c r="R16" s="7" t="str">
        <f>IFERROR(INDEX(Diccionarios!$C$2:$C$201,MATCH($A16,Diccionarios!$D$2:$D$201,0))&amp;"","")</f>
        <v/>
      </c>
      <c r="S16" s="7" t="str">
        <f>IFERROR(INDEX(Modelos!$K$2:$K$301,MATCH($B16,Modelos!$C$2:$C$301,0))&amp;"","")</f>
        <v/>
      </c>
      <c r="T16" s="7" t="str">
        <f>IFERROR(INDEX(Modelos!$L$2:$L$301,MATCH($B16,Modelos!$C$2:$C$301,0))&amp;"","")</f>
        <v/>
      </c>
    </row>
    <row r="17" spans="1:20" x14ac:dyDescent="0.25">
      <c r="A17" s="5"/>
      <c r="B17" s="5"/>
      <c r="C17" s="5"/>
      <c r="D17" s="6"/>
      <c r="E17" s="5"/>
      <c r="F17" s="7" t="str">
        <f>IF(AND(A17&lt;&gt;"",B17&lt;&gt;"",C17&lt;&gt;"",D17&lt;&gt;""),LEFT(A17,2)&amp;LEFT(B17,4)&amp;LEFT(C17,2)&amp;SUBSTITUTE(UPPER(D17),"Ú","U"),"")</f>
        <v/>
      </c>
      <c r="G17" s="7" t="str">
        <f>IFERROR(INDEX(Modelos!$B$2:$B$301,MATCH($B17,Modelos!$C$2:$C$301,0))&amp;"","")</f>
        <v/>
      </c>
      <c r="H17" s="7" t="str">
        <f>IFERROR(INDEX(Modelos!$D$2:$D$301,MATCH($B17,Modelos!$C$2:$C$301,0))&amp;"","")</f>
        <v/>
      </c>
      <c r="I17" s="7" t="str">
        <f>IFERROR(INDEX(Modelos!$E$2:$E$301,MATCH($B17,Modelos!$C$2:$C$301,0))&amp;"","")</f>
        <v/>
      </c>
      <c r="J17" s="7" t="str">
        <f>IFERROR(INDEX(Modelos!$F$2:$F$301,MATCH($B17,Modelos!$C$2:$C$301,0))&amp;"","")</f>
        <v/>
      </c>
      <c r="K17" s="7" t="str">
        <f>IFERROR(INDEX(Modelos!$G$2:$G$301,MATCH($B17,Modelos!$C$2:$C$301,0))&amp;"","")</f>
        <v/>
      </c>
      <c r="L17" s="7" t="str">
        <f>IFERROR(INDEX(Diccionarios!$G$2:$G$201,MATCH($C17,Diccionarios!$H$2:$H$201,0))&amp;"","")</f>
        <v/>
      </c>
      <c r="M17" s="7" t="str">
        <f>IF(D17="","",D17&amp;"")</f>
        <v/>
      </c>
      <c r="N17" s="8" t="str">
        <f>IF($B17="","",IFERROR(INDEX(Modelos!$H$2:$H$301,MATCH($B17,Modelos!$C$2:$C$301,0)),""))</f>
        <v/>
      </c>
      <c r="O17" s="8" t="str">
        <f>IF($B17="","",IFERROR(INDEX(Modelos!$I$2:$I$301,MATCH($B17,Modelos!$C$2:$C$301,0)),""))</f>
        <v/>
      </c>
      <c r="P17" s="8" t="str">
        <f>IF($B17="","",IFERROR(INDEX(Modelos!$J$2:$J$301,MATCH($B17,Modelos!$C$2:$C$301,0)),""))</f>
        <v/>
      </c>
      <c r="Q17" s="7" t="str">
        <f>IFERROR(INDEX(Diccionarios!$B$2:$B$201,MATCH($A17,Diccionarios!$D$2:$D$201,0))&amp;"","")</f>
        <v/>
      </c>
      <c r="R17" s="7" t="str">
        <f>IFERROR(INDEX(Diccionarios!$C$2:$C$201,MATCH($A17,Diccionarios!$D$2:$D$201,0))&amp;"","")</f>
        <v/>
      </c>
      <c r="S17" s="7" t="str">
        <f>IFERROR(INDEX(Modelos!$K$2:$K$301,MATCH($B17,Modelos!$C$2:$C$301,0))&amp;"","")</f>
        <v/>
      </c>
      <c r="T17" s="7" t="str">
        <f>IFERROR(INDEX(Modelos!$L$2:$L$301,MATCH($B17,Modelos!$C$2:$C$301,0))&amp;"","")</f>
        <v/>
      </c>
    </row>
    <row r="18" spans="1:20" x14ac:dyDescent="0.25">
      <c r="A18" s="5"/>
      <c r="B18" s="5"/>
      <c r="C18" s="5"/>
      <c r="D18" s="6"/>
      <c r="E18" s="5"/>
      <c r="F18" s="7" t="str">
        <f>IF(AND(A18&lt;&gt;"",B18&lt;&gt;"",C18&lt;&gt;"",D18&lt;&gt;""),LEFT(A18,2)&amp;LEFT(B18,4)&amp;LEFT(C18,2)&amp;SUBSTITUTE(UPPER(D18),"Ú","U"),"")</f>
        <v/>
      </c>
      <c r="G18" s="7" t="str">
        <f>IFERROR(INDEX(Modelos!$B$2:$B$301,MATCH($B18,Modelos!$C$2:$C$301,0))&amp;"","")</f>
        <v/>
      </c>
      <c r="H18" s="7" t="str">
        <f>IFERROR(INDEX(Modelos!$D$2:$D$301,MATCH($B18,Modelos!$C$2:$C$301,0))&amp;"","")</f>
        <v/>
      </c>
      <c r="I18" s="7" t="str">
        <f>IFERROR(INDEX(Modelos!$E$2:$E$301,MATCH($B18,Modelos!$C$2:$C$301,0))&amp;"","")</f>
        <v/>
      </c>
      <c r="J18" s="7" t="str">
        <f>IFERROR(INDEX(Modelos!$F$2:$F$301,MATCH($B18,Modelos!$C$2:$C$301,0))&amp;"","")</f>
        <v/>
      </c>
      <c r="K18" s="7" t="str">
        <f>IFERROR(INDEX(Modelos!$G$2:$G$301,MATCH($B18,Modelos!$C$2:$C$301,0))&amp;"","")</f>
        <v/>
      </c>
      <c r="L18" s="7" t="str">
        <f>IFERROR(INDEX(Diccionarios!$G$2:$G$201,MATCH($C18,Diccionarios!$H$2:$H$201,0))&amp;"","")</f>
        <v/>
      </c>
      <c r="M18" s="7" t="str">
        <f>IF(D18="","",D18&amp;"")</f>
        <v/>
      </c>
      <c r="N18" s="8" t="str">
        <f>IF($B18="","",IFERROR(INDEX(Modelos!$H$2:$H$301,MATCH($B18,Modelos!$C$2:$C$301,0)),""))</f>
        <v/>
      </c>
      <c r="O18" s="8" t="str">
        <f>IF($B18="","",IFERROR(INDEX(Modelos!$I$2:$I$301,MATCH($B18,Modelos!$C$2:$C$301,0)),""))</f>
        <v/>
      </c>
      <c r="P18" s="8" t="str">
        <f>IF($B18="","",IFERROR(INDEX(Modelos!$J$2:$J$301,MATCH($B18,Modelos!$C$2:$C$301,0)),""))</f>
        <v/>
      </c>
      <c r="Q18" s="7" t="str">
        <f>IFERROR(INDEX(Diccionarios!$B$2:$B$201,MATCH($A18,Diccionarios!$D$2:$D$201,0))&amp;"","")</f>
        <v/>
      </c>
      <c r="R18" s="7" t="str">
        <f>IFERROR(INDEX(Diccionarios!$C$2:$C$201,MATCH($A18,Diccionarios!$D$2:$D$201,0))&amp;"","")</f>
        <v/>
      </c>
      <c r="S18" s="7" t="str">
        <f>IFERROR(INDEX(Modelos!$K$2:$K$301,MATCH($B18,Modelos!$C$2:$C$301,0))&amp;"","")</f>
        <v/>
      </c>
      <c r="T18" s="7" t="str">
        <f>IFERROR(INDEX(Modelos!$L$2:$L$301,MATCH($B18,Modelos!$C$2:$C$301,0))&amp;"","")</f>
        <v/>
      </c>
    </row>
    <row r="19" spans="1:20" x14ac:dyDescent="0.25">
      <c r="A19" s="5"/>
      <c r="B19" s="5"/>
      <c r="C19" s="5"/>
      <c r="D19" s="6"/>
      <c r="E19" s="5"/>
      <c r="F19" s="7" t="str">
        <f>IF(AND(A19&lt;&gt;"",B19&lt;&gt;"",C19&lt;&gt;"",D19&lt;&gt;""),LEFT(A19,2)&amp;LEFT(B19,4)&amp;LEFT(C19,2)&amp;SUBSTITUTE(UPPER(D19),"Ú","U"),"")</f>
        <v/>
      </c>
      <c r="G19" s="7" t="str">
        <f>IFERROR(INDEX(Modelos!$B$2:$B$301,MATCH($B19,Modelos!$C$2:$C$301,0))&amp;"","")</f>
        <v/>
      </c>
      <c r="H19" s="7" t="str">
        <f>IFERROR(INDEX(Modelos!$D$2:$D$301,MATCH($B19,Modelos!$C$2:$C$301,0))&amp;"","")</f>
        <v/>
      </c>
      <c r="I19" s="7" t="str">
        <f>IFERROR(INDEX(Modelos!$E$2:$E$301,MATCH($B19,Modelos!$C$2:$C$301,0))&amp;"","")</f>
        <v/>
      </c>
      <c r="J19" s="7" t="str">
        <f>IFERROR(INDEX(Modelos!$F$2:$F$301,MATCH($B19,Modelos!$C$2:$C$301,0))&amp;"","")</f>
        <v/>
      </c>
      <c r="K19" s="7" t="str">
        <f>IFERROR(INDEX(Modelos!$G$2:$G$301,MATCH($B19,Modelos!$C$2:$C$301,0))&amp;"","")</f>
        <v/>
      </c>
      <c r="L19" s="7" t="str">
        <f>IFERROR(INDEX(Diccionarios!$G$2:$G$201,MATCH($C19,Diccionarios!$H$2:$H$201,0))&amp;"","")</f>
        <v/>
      </c>
      <c r="M19" s="7" t="str">
        <f>IF(D19="","",D19&amp;"")</f>
        <v/>
      </c>
      <c r="N19" s="8" t="str">
        <f>IF($B19="","",IFERROR(INDEX(Modelos!$H$2:$H$301,MATCH($B19,Modelos!$C$2:$C$301,0)),""))</f>
        <v/>
      </c>
      <c r="O19" s="8" t="str">
        <f>IF($B19="","",IFERROR(INDEX(Modelos!$I$2:$I$301,MATCH($B19,Modelos!$C$2:$C$301,0)),""))</f>
        <v/>
      </c>
      <c r="P19" s="8" t="str">
        <f>IF($B19="","",IFERROR(INDEX(Modelos!$J$2:$J$301,MATCH($B19,Modelos!$C$2:$C$301,0)),""))</f>
        <v/>
      </c>
      <c r="Q19" s="7" t="str">
        <f>IFERROR(INDEX(Diccionarios!$B$2:$B$201,MATCH($A19,Diccionarios!$D$2:$D$201,0))&amp;"","")</f>
        <v/>
      </c>
      <c r="R19" s="7" t="str">
        <f>IFERROR(INDEX(Diccionarios!$C$2:$C$201,MATCH($A19,Diccionarios!$D$2:$D$201,0))&amp;"","")</f>
        <v/>
      </c>
      <c r="S19" s="7" t="str">
        <f>IFERROR(INDEX(Modelos!$K$2:$K$301,MATCH($B19,Modelos!$C$2:$C$301,0))&amp;"","")</f>
        <v/>
      </c>
      <c r="T19" s="7" t="str">
        <f>IFERROR(INDEX(Modelos!$L$2:$L$301,MATCH($B19,Modelos!$C$2:$C$301,0))&amp;"","")</f>
        <v/>
      </c>
    </row>
    <row r="20" spans="1:20" x14ac:dyDescent="0.25">
      <c r="A20" s="5"/>
      <c r="B20" s="5"/>
      <c r="C20" s="5"/>
      <c r="D20" s="6"/>
      <c r="E20" s="5"/>
      <c r="F20" s="7" t="str">
        <f>IF(AND(A20&lt;&gt;"",B20&lt;&gt;"",C20&lt;&gt;"",D20&lt;&gt;""),LEFT(A20,2)&amp;LEFT(B20,4)&amp;LEFT(C20,2)&amp;SUBSTITUTE(UPPER(D20),"Ú","U"),"")</f>
        <v/>
      </c>
      <c r="G20" s="7" t="str">
        <f>IFERROR(INDEX(Modelos!$B$2:$B$301,MATCH($B20,Modelos!$C$2:$C$301,0))&amp;"","")</f>
        <v/>
      </c>
      <c r="H20" s="7" t="str">
        <f>IFERROR(INDEX(Modelos!$D$2:$D$301,MATCH($B20,Modelos!$C$2:$C$301,0))&amp;"","")</f>
        <v/>
      </c>
      <c r="I20" s="7" t="str">
        <f>IFERROR(INDEX(Modelos!$E$2:$E$301,MATCH($B20,Modelos!$C$2:$C$301,0))&amp;"","")</f>
        <v/>
      </c>
      <c r="J20" s="7" t="str">
        <f>IFERROR(INDEX(Modelos!$F$2:$F$301,MATCH($B20,Modelos!$C$2:$C$301,0))&amp;"","")</f>
        <v/>
      </c>
      <c r="K20" s="7" t="str">
        <f>IFERROR(INDEX(Modelos!$G$2:$G$301,MATCH($B20,Modelos!$C$2:$C$301,0))&amp;"","")</f>
        <v/>
      </c>
      <c r="L20" s="7" t="str">
        <f>IFERROR(INDEX(Diccionarios!$G$2:$G$201,MATCH($C20,Diccionarios!$H$2:$H$201,0))&amp;"","")</f>
        <v/>
      </c>
      <c r="M20" s="7" t="str">
        <f>IF(D20="","",D20&amp;"")</f>
        <v/>
      </c>
      <c r="N20" s="8" t="str">
        <f>IF($B20="","",IFERROR(INDEX(Modelos!$H$2:$H$301,MATCH($B20,Modelos!$C$2:$C$301,0)),""))</f>
        <v/>
      </c>
      <c r="O20" s="8" t="str">
        <f>IF($B20="","",IFERROR(INDEX(Modelos!$I$2:$I$301,MATCH($B20,Modelos!$C$2:$C$301,0)),""))</f>
        <v/>
      </c>
      <c r="P20" s="8" t="str">
        <f>IF($B20="","",IFERROR(INDEX(Modelos!$J$2:$J$301,MATCH($B20,Modelos!$C$2:$C$301,0)),""))</f>
        <v/>
      </c>
      <c r="Q20" s="7" t="str">
        <f>IFERROR(INDEX(Diccionarios!$B$2:$B$201,MATCH($A20,Diccionarios!$D$2:$D$201,0))&amp;"","")</f>
        <v/>
      </c>
      <c r="R20" s="7" t="str">
        <f>IFERROR(INDEX(Diccionarios!$C$2:$C$201,MATCH($A20,Diccionarios!$D$2:$D$201,0))&amp;"","")</f>
        <v/>
      </c>
      <c r="S20" s="7" t="str">
        <f>IFERROR(INDEX(Modelos!$K$2:$K$301,MATCH($B20,Modelos!$C$2:$C$301,0))&amp;"","")</f>
        <v/>
      </c>
      <c r="T20" s="7" t="str">
        <f>IFERROR(INDEX(Modelos!$L$2:$L$301,MATCH($B20,Modelos!$C$2:$C$301,0))&amp;"","")</f>
        <v/>
      </c>
    </row>
    <row r="21" spans="1:20" x14ac:dyDescent="0.25">
      <c r="A21" s="5"/>
      <c r="B21" s="5"/>
      <c r="C21" s="5"/>
      <c r="D21" s="6"/>
      <c r="E21" s="5"/>
      <c r="F21" s="7" t="str">
        <f>IF(AND(A21&lt;&gt;"",B21&lt;&gt;"",C21&lt;&gt;"",D21&lt;&gt;""),LEFT(A21,2)&amp;LEFT(B21,4)&amp;LEFT(C21,2)&amp;SUBSTITUTE(UPPER(D21),"Ú","U"),"")</f>
        <v/>
      </c>
      <c r="G21" s="7" t="str">
        <f>IFERROR(INDEX(Modelos!$B$2:$B$301,MATCH($B21,Modelos!$C$2:$C$301,0))&amp;"","")</f>
        <v/>
      </c>
      <c r="H21" s="7" t="str">
        <f>IFERROR(INDEX(Modelos!$D$2:$D$301,MATCH($B21,Modelos!$C$2:$C$301,0))&amp;"","")</f>
        <v/>
      </c>
      <c r="I21" s="7" t="str">
        <f>IFERROR(INDEX(Modelos!$E$2:$E$301,MATCH($B21,Modelos!$C$2:$C$301,0))&amp;"","")</f>
        <v/>
      </c>
      <c r="J21" s="7" t="str">
        <f>IFERROR(INDEX(Modelos!$F$2:$F$301,MATCH($B21,Modelos!$C$2:$C$301,0))&amp;"","")</f>
        <v/>
      </c>
      <c r="K21" s="7" t="str">
        <f>IFERROR(INDEX(Modelos!$G$2:$G$301,MATCH($B21,Modelos!$C$2:$C$301,0))&amp;"","")</f>
        <v/>
      </c>
      <c r="L21" s="7" t="str">
        <f>IFERROR(INDEX(Diccionarios!$G$2:$G$201,MATCH($C21,Diccionarios!$H$2:$H$201,0))&amp;"","")</f>
        <v/>
      </c>
      <c r="M21" s="7" t="str">
        <f>IF(D21="","",D21&amp;"")</f>
        <v/>
      </c>
      <c r="N21" s="8" t="str">
        <f>IF($B21="","",IFERROR(INDEX(Modelos!$H$2:$H$301,MATCH($B21,Modelos!$C$2:$C$301,0)),""))</f>
        <v/>
      </c>
      <c r="O21" s="8" t="str">
        <f>IF($B21="","",IFERROR(INDEX(Modelos!$I$2:$I$301,MATCH($B21,Modelos!$C$2:$C$301,0)),""))</f>
        <v/>
      </c>
      <c r="P21" s="8" t="str">
        <f>IF($B21="","",IFERROR(INDEX(Modelos!$J$2:$J$301,MATCH($B21,Modelos!$C$2:$C$301,0)),""))</f>
        <v/>
      </c>
      <c r="Q21" s="7" t="str">
        <f>IFERROR(INDEX(Diccionarios!$B$2:$B$201,MATCH($A21,Diccionarios!$D$2:$D$201,0))&amp;"","")</f>
        <v/>
      </c>
      <c r="R21" s="7" t="str">
        <f>IFERROR(INDEX(Diccionarios!$C$2:$C$201,MATCH($A21,Diccionarios!$D$2:$D$201,0))&amp;"","")</f>
        <v/>
      </c>
      <c r="S21" s="7" t="str">
        <f>IFERROR(INDEX(Modelos!$K$2:$K$301,MATCH($B21,Modelos!$C$2:$C$301,0))&amp;"","")</f>
        <v/>
      </c>
      <c r="T21" s="7" t="str">
        <f>IFERROR(INDEX(Modelos!$L$2:$L$301,MATCH($B21,Modelos!$C$2:$C$301,0))&amp;"","")</f>
        <v/>
      </c>
    </row>
    <row r="22" spans="1:20" x14ac:dyDescent="0.25">
      <c r="A22" s="5"/>
      <c r="B22" s="5"/>
      <c r="C22" s="5"/>
      <c r="D22" s="6"/>
      <c r="E22" s="5"/>
      <c r="F22" s="7" t="str">
        <f>IF(AND(A22&lt;&gt;"",B22&lt;&gt;"",C22&lt;&gt;"",D22&lt;&gt;""),LEFT(A22,2)&amp;LEFT(B22,4)&amp;LEFT(C22,2)&amp;SUBSTITUTE(UPPER(D22),"Ú","U"),"")</f>
        <v/>
      </c>
      <c r="G22" s="7" t="str">
        <f>IFERROR(INDEX(Modelos!$B$2:$B$301,MATCH($B22,Modelos!$C$2:$C$301,0))&amp;"","")</f>
        <v/>
      </c>
      <c r="H22" s="7" t="str">
        <f>IFERROR(INDEX(Modelos!$D$2:$D$301,MATCH($B22,Modelos!$C$2:$C$301,0))&amp;"","")</f>
        <v/>
      </c>
      <c r="I22" s="7" t="str">
        <f>IFERROR(INDEX(Modelos!$E$2:$E$301,MATCH($B22,Modelos!$C$2:$C$301,0))&amp;"","")</f>
        <v/>
      </c>
      <c r="J22" s="7" t="str">
        <f>IFERROR(INDEX(Modelos!$F$2:$F$301,MATCH($B22,Modelos!$C$2:$C$301,0))&amp;"","")</f>
        <v/>
      </c>
      <c r="K22" s="7" t="str">
        <f>IFERROR(INDEX(Modelos!$G$2:$G$301,MATCH($B22,Modelos!$C$2:$C$301,0))&amp;"","")</f>
        <v/>
      </c>
      <c r="L22" s="7" t="str">
        <f>IFERROR(INDEX(Diccionarios!$G$2:$G$201,MATCH($C22,Diccionarios!$H$2:$H$201,0))&amp;"","")</f>
        <v/>
      </c>
      <c r="M22" s="7" t="str">
        <f>IF(D22="","",D22&amp;"")</f>
        <v/>
      </c>
      <c r="N22" s="8" t="str">
        <f>IF($B22="","",IFERROR(INDEX(Modelos!$H$2:$H$301,MATCH($B22,Modelos!$C$2:$C$301,0)),""))</f>
        <v/>
      </c>
      <c r="O22" s="8" t="str">
        <f>IF($B22="","",IFERROR(INDEX(Modelos!$I$2:$I$301,MATCH($B22,Modelos!$C$2:$C$301,0)),""))</f>
        <v/>
      </c>
      <c r="P22" s="8" t="str">
        <f>IF($B22="","",IFERROR(INDEX(Modelos!$J$2:$J$301,MATCH($B22,Modelos!$C$2:$C$301,0)),""))</f>
        <v/>
      </c>
      <c r="Q22" s="7" t="str">
        <f>IFERROR(INDEX(Diccionarios!$B$2:$B$201,MATCH($A22,Diccionarios!$D$2:$D$201,0))&amp;"","")</f>
        <v/>
      </c>
      <c r="R22" s="7" t="str">
        <f>IFERROR(INDEX(Diccionarios!$C$2:$C$201,MATCH($A22,Diccionarios!$D$2:$D$201,0))&amp;"","")</f>
        <v/>
      </c>
      <c r="S22" s="7" t="str">
        <f>IFERROR(INDEX(Modelos!$K$2:$K$301,MATCH($B22,Modelos!$C$2:$C$301,0))&amp;"","")</f>
        <v/>
      </c>
      <c r="T22" s="7" t="str">
        <f>IFERROR(INDEX(Modelos!$L$2:$L$301,MATCH($B22,Modelos!$C$2:$C$301,0))&amp;"","")</f>
        <v/>
      </c>
    </row>
    <row r="23" spans="1:20" x14ac:dyDescent="0.25">
      <c r="A23" s="5"/>
      <c r="B23" s="5"/>
      <c r="C23" s="5"/>
      <c r="D23" s="6"/>
      <c r="E23" s="5"/>
      <c r="F23" s="7" t="str">
        <f>IF(AND(A23&lt;&gt;"",B23&lt;&gt;"",C23&lt;&gt;"",D23&lt;&gt;""),LEFT(A23,2)&amp;LEFT(B23,4)&amp;LEFT(C23,2)&amp;SUBSTITUTE(UPPER(D23),"Ú","U"),"")</f>
        <v/>
      </c>
      <c r="G23" s="7" t="str">
        <f>IFERROR(INDEX(Modelos!$B$2:$B$301,MATCH($B23,Modelos!$C$2:$C$301,0))&amp;"","")</f>
        <v/>
      </c>
      <c r="H23" s="7" t="str">
        <f>IFERROR(INDEX(Modelos!$D$2:$D$301,MATCH($B23,Modelos!$C$2:$C$301,0))&amp;"","")</f>
        <v/>
      </c>
      <c r="I23" s="7" t="str">
        <f>IFERROR(INDEX(Modelos!$E$2:$E$301,MATCH($B23,Modelos!$C$2:$C$301,0))&amp;"","")</f>
        <v/>
      </c>
      <c r="J23" s="7" t="str">
        <f>IFERROR(INDEX(Modelos!$F$2:$F$301,MATCH($B23,Modelos!$C$2:$C$301,0))&amp;"","")</f>
        <v/>
      </c>
      <c r="K23" s="7" t="str">
        <f>IFERROR(INDEX(Modelos!$G$2:$G$301,MATCH($B23,Modelos!$C$2:$C$301,0))&amp;"","")</f>
        <v/>
      </c>
      <c r="L23" s="7" t="str">
        <f>IFERROR(INDEX(Diccionarios!$G$2:$G$201,MATCH($C23,Diccionarios!$H$2:$H$201,0))&amp;"","")</f>
        <v/>
      </c>
      <c r="M23" s="7" t="str">
        <f>IF(D23="","",D23&amp;"")</f>
        <v/>
      </c>
      <c r="N23" s="8" t="str">
        <f>IF($B23="","",IFERROR(INDEX(Modelos!$H$2:$H$301,MATCH($B23,Modelos!$C$2:$C$301,0)),""))</f>
        <v/>
      </c>
      <c r="O23" s="8" t="str">
        <f>IF($B23="","",IFERROR(INDEX(Modelos!$I$2:$I$301,MATCH($B23,Modelos!$C$2:$C$301,0)),""))</f>
        <v/>
      </c>
      <c r="P23" s="8" t="str">
        <f>IF($B23="","",IFERROR(INDEX(Modelos!$J$2:$J$301,MATCH($B23,Modelos!$C$2:$C$301,0)),""))</f>
        <v/>
      </c>
      <c r="Q23" s="7" t="str">
        <f>IFERROR(INDEX(Diccionarios!$B$2:$B$201,MATCH($A23,Diccionarios!$D$2:$D$201,0))&amp;"","")</f>
        <v/>
      </c>
      <c r="R23" s="7" t="str">
        <f>IFERROR(INDEX(Diccionarios!$C$2:$C$201,MATCH($A23,Diccionarios!$D$2:$D$201,0))&amp;"","")</f>
        <v/>
      </c>
      <c r="S23" s="7" t="str">
        <f>IFERROR(INDEX(Modelos!$K$2:$K$301,MATCH($B23,Modelos!$C$2:$C$301,0))&amp;"","")</f>
        <v/>
      </c>
      <c r="T23" s="7" t="str">
        <f>IFERROR(INDEX(Modelos!$L$2:$L$301,MATCH($B23,Modelos!$C$2:$C$301,0))&amp;"","")</f>
        <v/>
      </c>
    </row>
    <row r="24" spans="1:20" x14ac:dyDescent="0.25">
      <c r="A24" s="5"/>
      <c r="B24" s="5"/>
      <c r="C24" s="5"/>
      <c r="D24" s="6"/>
      <c r="E24" s="5"/>
      <c r="F24" s="7" t="str">
        <f>IF(AND(A24&lt;&gt;"",B24&lt;&gt;"",C24&lt;&gt;"",D24&lt;&gt;""),LEFT(A24,2)&amp;LEFT(B24,4)&amp;LEFT(C24,2)&amp;SUBSTITUTE(UPPER(D24),"Ú","U"),"")</f>
        <v/>
      </c>
      <c r="G24" s="7" t="str">
        <f>IFERROR(INDEX(Modelos!$B$2:$B$301,MATCH($B24,Modelos!$C$2:$C$301,0))&amp;"","")</f>
        <v/>
      </c>
      <c r="H24" s="7" t="str">
        <f>IFERROR(INDEX(Modelos!$D$2:$D$301,MATCH($B24,Modelos!$C$2:$C$301,0))&amp;"","")</f>
        <v/>
      </c>
      <c r="I24" s="7" t="str">
        <f>IFERROR(INDEX(Modelos!$E$2:$E$301,MATCH($B24,Modelos!$C$2:$C$301,0))&amp;"","")</f>
        <v/>
      </c>
      <c r="J24" s="7" t="str">
        <f>IFERROR(INDEX(Modelos!$F$2:$F$301,MATCH($B24,Modelos!$C$2:$C$301,0))&amp;"","")</f>
        <v/>
      </c>
      <c r="K24" s="7" t="str">
        <f>IFERROR(INDEX(Modelos!$G$2:$G$301,MATCH($B24,Modelos!$C$2:$C$301,0))&amp;"","")</f>
        <v/>
      </c>
      <c r="L24" s="7" t="str">
        <f>IFERROR(INDEX(Diccionarios!$G$2:$G$201,MATCH($C24,Diccionarios!$H$2:$H$201,0))&amp;"","")</f>
        <v/>
      </c>
      <c r="M24" s="7" t="str">
        <f>IF(D24="","",D24&amp;"")</f>
        <v/>
      </c>
      <c r="N24" s="8" t="str">
        <f>IF($B24="","",IFERROR(INDEX(Modelos!$H$2:$H$301,MATCH($B24,Modelos!$C$2:$C$301,0)),""))</f>
        <v/>
      </c>
      <c r="O24" s="8" t="str">
        <f>IF($B24="","",IFERROR(INDEX(Modelos!$I$2:$I$301,MATCH($B24,Modelos!$C$2:$C$301,0)),""))</f>
        <v/>
      </c>
      <c r="P24" s="8" t="str">
        <f>IF($B24="","",IFERROR(INDEX(Modelos!$J$2:$J$301,MATCH($B24,Modelos!$C$2:$C$301,0)),""))</f>
        <v/>
      </c>
      <c r="Q24" s="7" t="str">
        <f>IFERROR(INDEX(Diccionarios!$B$2:$B$201,MATCH($A24,Diccionarios!$D$2:$D$201,0))&amp;"","")</f>
        <v/>
      </c>
      <c r="R24" s="7" t="str">
        <f>IFERROR(INDEX(Diccionarios!$C$2:$C$201,MATCH($A24,Diccionarios!$D$2:$D$201,0))&amp;"","")</f>
        <v/>
      </c>
      <c r="S24" s="7" t="str">
        <f>IFERROR(INDEX(Modelos!$K$2:$K$301,MATCH($B24,Modelos!$C$2:$C$301,0))&amp;"","")</f>
        <v/>
      </c>
      <c r="T24" s="7" t="str">
        <f>IFERROR(INDEX(Modelos!$L$2:$L$301,MATCH($B24,Modelos!$C$2:$C$301,0))&amp;"","")</f>
        <v/>
      </c>
    </row>
    <row r="25" spans="1:20" x14ac:dyDescent="0.25">
      <c r="A25" s="5"/>
      <c r="B25" s="5"/>
      <c r="C25" s="5"/>
      <c r="D25" s="6"/>
      <c r="E25" s="5"/>
      <c r="F25" s="7" t="str">
        <f>IF(AND(A25&lt;&gt;"",B25&lt;&gt;"",C25&lt;&gt;"",D25&lt;&gt;""),LEFT(A25,2)&amp;LEFT(B25,4)&amp;LEFT(C25,2)&amp;SUBSTITUTE(UPPER(D25),"Ú","U"),"")</f>
        <v/>
      </c>
      <c r="G25" s="7" t="str">
        <f>IFERROR(INDEX(Modelos!$B$2:$B$301,MATCH($B25,Modelos!$C$2:$C$301,0))&amp;"","")</f>
        <v/>
      </c>
      <c r="H25" s="7" t="str">
        <f>IFERROR(INDEX(Modelos!$D$2:$D$301,MATCH($B25,Modelos!$C$2:$C$301,0))&amp;"","")</f>
        <v/>
      </c>
      <c r="I25" s="7" t="str">
        <f>IFERROR(INDEX(Modelos!$E$2:$E$301,MATCH($B25,Modelos!$C$2:$C$301,0))&amp;"","")</f>
        <v/>
      </c>
      <c r="J25" s="7" t="str">
        <f>IFERROR(INDEX(Modelos!$F$2:$F$301,MATCH($B25,Modelos!$C$2:$C$301,0))&amp;"","")</f>
        <v/>
      </c>
      <c r="K25" s="7" t="str">
        <f>IFERROR(INDEX(Modelos!$G$2:$G$301,MATCH($B25,Modelos!$C$2:$C$301,0))&amp;"","")</f>
        <v/>
      </c>
      <c r="L25" s="7" t="str">
        <f>IFERROR(INDEX(Diccionarios!$G$2:$G$201,MATCH($C25,Diccionarios!$H$2:$H$201,0))&amp;"","")</f>
        <v/>
      </c>
      <c r="M25" s="7" t="str">
        <f>IF(D25="","",D25&amp;"")</f>
        <v/>
      </c>
      <c r="N25" s="8" t="str">
        <f>IF($B25="","",IFERROR(INDEX(Modelos!$H$2:$H$301,MATCH($B25,Modelos!$C$2:$C$301,0)),""))</f>
        <v/>
      </c>
      <c r="O25" s="8" t="str">
        <f>IF($B25="","",IFERROR(INDEX(Modelos!$I$2:$I$301,MATCH($B25,Modelos!$C$2:$C$301,0)),""))</f>
        <v/>
      </c>
      <c r="P25" s="8" t="str">
        <f>IF($B25="","",IFERROR(INDEX(Modelos!$J$2:$J$301,MATCH($B25,Modelos!$C$2:$C$301,0)),""))</f>
        <v/>
      </c>
      <c r="Q25" s="7" t="str">
        <f>IFERROR(INDEX(Diccionarios!$B$2:$B$201,MATCH($A25,Diccionarios!$D$2:$D$201,0))&amp;"","")</f>
        <v/>
      </c>
      <c r="R25" s="7" t="str">
        <f>IFERROR(INDEX(Diccionarios!$C$2:$C$201,MATCH($A25,Diccionarios!$D$2:$D$201,0))&amp;"","")</f>
        <v/>
      </c>
      <c r="S25" s="7" t="str">
        <f>IFERROR(INDEX(Modelos!$K$2:$K$301,MATCH($B25,Modelos!$C$2:$C$301,0))&amp;"","")</f>
        <v/>
      </c>
      <c r="T25" s="7" t="str">
        <f>IFERROR(INDEX(Modelos!$L$2:$L$301,MATCH($B25,Modelos!$C$2:$C$301,0))&amp;"","")</f>
        <v/>
      </c>
    </row>
    <row r="26" spans="1:20" x14ac:dyDescent="0.25">
      <c r="A26" s="5"/>
      <c r="B26" s="5"/>
      <c r="C26" s="5"/>
      <c r="D26" s="6"/>
      <c r="E26" s="5"/>
      <c r="F26" s="7" t="str">
        <f>IF(AND(A26&lt;&gt;"",B26&lt;&gt;"",C26&lt;&gt;"",D26&lt;&gt;""),LEFT(A26,2)&amp;LEFT(B26,4)&amp;LEFT(C26,2)&amp;SUBSTITUTE(UPPER(D26),"Ú","U"),"")</f>
        <v/>
      </c>
      <c r="G26" s="7" t="str">
        <f>IFERROR(INDEX(Modelos!$B$2:$B$301,MATCH($B26,Modelos!$C$2:$C$301,0))&amp;"","")</f>
        <v/>
      </c>
      <c r="H26" s="7" t="str">
        <f>IFERROR(INDEX(Modelos!$D$2:$D$301,MATCH($B26,Modelos!$C$2:$C$301,0))&amp;"","")</f>
        <v/>
      </c>
      <c r="I26" s="7" t="str">
        <f>IFERROR(INDEX(Modelos!$E$2:$E$301,MATCH($B26,Modelos!$C$2:$C$301,0))&amp;"","")</f>
        <v/>
      </c>
      <c r="J26" s="7" t="str">
        <f>IFERROR(INDEX(Modelos!$F$2:$F$301,MATCH($B26,Modelos!$C$2:$C$301,0))&amp;"","")</f>
        <v/>
      </c>
      <c r="K26" s="7" t="str">
        <f>IFERROR(INDEX(Modelos!$G$2:$G$301,MATCH($B26,Modelos!$C$2:$C$301,0))&amp;"","")</f>
        <v/>
      </c>
      <c r="L26" s="7" t="str">
        <f>IFERROR(INDEX(Diccionarios!$G$2:$G$201,MATCH($C26,Diccionarios!$H$2:$H$201,0))&amp;"","")</f>
        <v/>
      </c>
      <c r="M26" s="7" t="str">
        <f>IF(D26="","",D26&amp;"")</f>
        <v/>
      </c>
      <c r="N26" s="8" t="str">
        <f>IF($B26="","",IFERROR(INDEX(Modelos!$H$2:$H$301,MATCH($B26,Modelos!$C$2:$C$301,0)),""))</f>
        <v/>
      </c>
      <c r="O26" s="8" t="str">
        <f>IF($B26="","",IFERROR(INDEX(Modelos!$I$2:$I$301,MATCH($B26,Modelos!$C$2:$C$301,0)),""))</f>
        <v/>
      </c>
      <c r="P26" s="8" t="str">
        <f>IF($B26="","",IFERROR(INDEX(Modelos!$J$2:$J$301,MATCH($B26,Modelos!$C$2:$C$301,0)),""))</f>
        <v/>
      </c>
      <c r="Q26" s="7" t="str">
        <f>IFERROR(INDEX(Diccionarios!$B$2:$B$201,MATCH($A26,Diccionarios!$D$2:$D$201,0))&amp;"","")</f>
        <v/>
      </c>
      <c r="R26" s="7" t="str">
        <f>IFERROR(INDEX(Diccionarios!$C$2:$C$201,MATCH($A26,Diccionarios!$D$2:$D$201,0))&amp;"","")</f>
        <v/>
      </c>
      <c r="S26" s="7" t="str">
        <f>IFERROR(INDEX(Modelos!$K$2:$K$301,MATCH($B26,Modelos!$C$2:$C$301,0))&amp;"","")</f>
        <v/>
      </c>
      <c r="T26" s="7" t="str">
        <f>IFERROR(INDEX(Modelos!$L$2:$L$301,MATCH($B26,Modelos!$C$2:$C$301,0))&amp;"","")</f>
        <v/>
      </c>
    </row>
    <row r="27" spans="1:20" x14ac:dyDescent="0.25">
      <c r="A27" s="5"/>
      <c r="B27" s="5"/>
      <c r="C27" s="5"/>
      <c r="D27" s="6"/>
      <c r="E27" s="5"/>
      <c r="F27" s="7" t="str">
        <f>IF(AND(A27&lt;&gt;"",B27&lt;&gt;"",C27&lt;&gt;"",D27&lt;&gt;""),LEFT(A27,2)&amp;LEFT(B27,4)&amp;LEFT(C27,2)&amp;SUBSTITUTE(UPPER(D27),"Ú","U"),"")</f>
        <v/>
      </c>
      <c r="G27" s="7" t="str">
        <f>IFERROR(INDEX(Modelos!$B$2:$B$301,MATCH($B27,Modelos!$C$2:$C$301,0))&amp;"","")</f>
        <v/>
      </c>
      <c r="H27" s="7" t="str">
        <f>IFERROR(INDEX(Modelos!$D$2:$D$301,MATCH($B27,Modelos!$C$2:$C$301,0))&amp;"","")</f>
        <v/>
      </c>
      <c r="I27" s="7" t="str">
        <f>IFERROR(INDEX(Modelos!$E$2:$E$301,MATCH($B27,Modelos!$C$2:$C$301,0))&amp;"","")</f>
        <v/>
      </c>
      <c r="J27" s="7" t="str">
        <f>IFERROR(INDEX(Modelos!$F$2:$F$301,MATCH($B27,Modelos!$C$2:$C$301,0))&amp;"","")</f>
        <v/>
      </c>
      <c r="K27" s="7" t="str">
        <f>IFERROR(INDEX(Modelos!$G$2:$G$301,MATCH($B27,Modelos!$C$2:$C$301,0))&amp;"","")</f>
        <v/>
      </c>
      <c r="L27" s="7" t="str">
        <f>IFERROR(INDEX(Diccionarios!$G$2:$G$201,MATCH($C27,Diccionarios!$H$2:$H$201,0))&amp;"","")</f>
        <v/>
      </c>
      <c r="M27" s="7" t="str">
        <f>IF(D27="","",D27&amp;"")</f>
        <v/>
      </c>
      <c r="N27" s="8" t="str">
        <f>IF($B27="","",IFERROR(INDEX(Modelos!$H$2:$H$301,MATCH($B27,Modelos!$C$2:$C$301,0)),""))</f>
        <v/>
      </c>
      <c r="O27" s="8" t="str">
        <f>IF($B27="","",IFERROR(INDEX(Modelos!$I$2:$I$301,MATCH($B27,Modelos!$C$2:$C$301,0)),""))</f>
        <v/>
      </c>
      <c r="P27" s="8" t="str">
        <f>IF($B27="","",IFERROR(INDEX(Modelos!$J$2:$J$301,MATCH($B27,Modelos!$C$2:$C$301,0)),""))</f>
        <v/>
      </c>
      <c r="Q27" s="7" t="str">
        <f>IFERROR(INDEX(Diccionarios!$B$2:$B$201,MATCH($A27,Diccionarios!$D$2:$D$201,0))&amp;"","")</f>
        <v/>
      </c>
      <c r="R27" s="7" t="str">
        <f>IFERROR(INDEX(Diccionarios!$C$2:$C$201,MATCH($A27,Diccionarios!$D$2:$D$201,0))&amp;"","")</f>
        <v/>
      </c>
      <c r="S27" s="7" t="str">
        <f>IFERROR(INDEX(Modelos!$K$2:$K$301,MATCH($B27,Modelos!$C$2:$C$301,0))&amp;"","")</f>
        <v/>
      </c>
      <c r="T27" s="7" t="str">
        <f>IFERROR(INDEX(Modelos!$L$2:$L$301,MATCH($B27,Modelos!$C$2:$C$301,0))&amp;"","")</f>
        <v/>
      </c>
    </row>
    <row r="28" spans="1:20" x14ac:dyDescent="0.25">
      <c r="A28" s="5"/>
      <c r="B28" s="5"/>
      <c r="C28" s="5"/>
      <c r="D28" s="6"/>
      <c r="E28" s="5"/>
      <c r="F28" s="7" t="str">
        <f>IF(AND(A28&lt;&gt;"",B28&lt;&gt;"",C28&lt;&gt;"",D28&lt;&gt;""),LEFT(A28,2)&amp;LEFT(B28,4)&amp;LEFT(C28,2)&amp;SUBSTITUTE(UPPER(D28),"Ú","U"),"")</f>
        <v/>
      </c>
      <c r="G28" s="7" t="str">
        <f>IFERROR(INDEX(Modelos!$B$2:$B$301,MATCH($B28,Modelos!$C$2:$C$301,0))&amp;"","")</f>
        <v/>
      </c>
      <c r="H28" s="7" t="str">
        <f>IFERROR(INDEX(Modelos!$D$2:$D$301,MATCH($B28,Modelos!$C$2:$C$301,0))&amp;"","")</f>
        <v/>
      </c>
      <c r="I28" s="7" t="str">
        <f>IFERROR(INDEX(Modelos!$E$2:$E$301,MATCH($B28,Modelos!$C$2:$C$301,0))&amp;"","")</f>
        <v/>
      </c>
      <c r="J28" s="7" t="str">
        <f>IFERROR(INDEX(Modelos!$F$2:$F$301,MATCH($B28,Modelos!$C$2:$C$301,0))&amp;"","")</f>
        <v/>
      </c>
      <c r="K28" s="7" t="str">
        <f>IFERROR(INDEX(Modelos!$G$2:$G$301,MATCH($B28,Modelos!$C$2:$C$301,0))&amp;"","")</f>
        <v/>
      </c>
      <c r="L28" s="7" t="str">
        <f>IFERROR(INDEX(Diccionarios!$G$2:$G$201,MATCH($C28,Diccionarios!$H$2:$H$201,0))&amp;"","")</f>
        <v/>
      </c>
      <c r="M28" s="7" t="str">
        <f>IF(D28="","",D28&amp;"")</f>
        <v/>
      </c>
      <c r="N28" s="8" t="str">
        <f>IF($B28="","",IFERROR(INDEX(Modelos!$H$2:$H$301,MATCH($B28,Modelos!$C$2:$C$301,0)),""))</f>
        <v/>
      </c>
      <c r="O28" s="8" t="str">
        <f>IF($B28="","",IFERROR(INDEX(Modelos!$I$2:$I$301,MATCH($B28,Modelos!$C$2:$C$301,0)),""))</f>
        <v/>
      </c>
      <c r="P28" s="8" t="str">
        <f>IF($B28="","",IFERROR(INDEX(Modelos!$J$2:$J$301,MATCH($B28,Modelos!$C$2:$C$301,0)),""))</f>
        <v/>
      </c>
      <c r="Q28" s="7" t="str">
        <f>IFERROR(INDEX(Diccionarios!$B$2:$B$201,MATCH($A28,Diccionarios!$D$2:$D$201,0))&amp;"","")</f>
        <v/>
      </c>
      <c r="R28" s="7" t="str">
        <f>IFERROR(INDEX(Diccionarios!$C$2:$C$201,MATCH($A28,Diccionarios!$D$2:$D$201,0))&amp;"","")</f>
        <v/>
      </c>
      <c r="S28" s="7" t="str">
        <f>IFERROR(INDEX(Modelos!$K$2:$K$301,MATCH($B28,Modelos!$C$2:$C$301,0))&amp;"","")</f>
        <v/>
      </c>
      <c r="T28" s="7" t="str">
        <f>IFERROR(INDEX(Modelos!$L$2:$L$301,MATCH($B28,Modelos!$C$2:$C$301,0))&amp;"","")</f>
        <v/>
      </c>
    </row>
    <row r="29" spans="1:20" x14ac:dyDescent="0.25">
      <c r="A29" s="5"/>
      <c r="B29" s="5"/>
      <c r="C29" s="5"/>
      <c r="D29" s="6"/>
      <c r="E29" s="5"/>
      <c r="F29" s="7" t="str">
        <f>IF(AND(A29&lt;&gt;"",B29&lt;&gt;"",C29&lt;&gt;"",D29&lt;&gt;""),LEFT(A29,2)&amp;LEFT(B29,4)&amp;LEFT(C29,2)&amp;SUBSTITUTE(UPPER(D29),"Ú","U"),"")</f>
        <v/>
      </c>
      <c r="G29" s="7" t="str">
        <f>IFERROR(INDEX(Modelos!$B$2:$B$301,MATCH($B29,Modelos!$C$2:$C$301,0))&amp;"","")</f>
        <v/>
      </c>
      <c r="H29" s="7" t="str">
        <f>IFERROR(INDEX(Modelos!$D$2:$D$301,MATCH($B29,Modelos!$C$2:$C$301,0))&amp;"","")</f>
        <v/>
      </c>
      <c r="I29" s="7" t="str">
        <f>IFERROR(INDEX(Modelos!$E$2:$E$301,MATCH($B29,Modelos!$C$2:$C$301,0))&amp;"","")</f>
        <v/>
      </c>
      <c r="J29" s="7" t="str">
        <f>IFERROR(INDEX(Modelos!$F$2:$F$301,MATCH($B29,Modelos!$C$2:$C$301,0))&amp;"","")</f>
        <v/>
      </c>
      <c r="K29" s="7" t="str">
        <f>IFERROR(INDEX(Modelos!$G$2:$G$301,MATCH($B29,Modelos!$C$2:$C$301,0))&amp;"","")</f>
        <v/>
      </c>
      <c r="L29" s="7" t="str">
        <f>IFERROR(INDEX(Diccionarios!$G$2:$G$201,MATCH($C29,Diccionarios!$H$2:$H$201,0))&amp;"","")</f>
        <v/>
      </c>
      <c r="M29" s="7" t="str">
        <f>IF(D29="","",D29&amp;"")</f>
        <v/>
      </c>
      <c r="N29" s="8" t="str">
        <f>IF($B29="","",IFERROR(INDEX(Modelos!$H$2:$H$301,MATCH($B29,Modelos!$C$2:$C$301,0)),""))</f>
        <v/>
      </c>
      <c r="O29" s="8" t="str">
        <f>IF($B29="","",IFERROR(INDEX(Modelos!$I$2:$I$301,MATCH($B29,Modelos!$C$2:$C$301,0)),""))</f>
        <v/>
      </c>
      <c r="P29" s="8" t="str">
        <f>IF($B29="","",IFERROR(INDEX(Modelos!$J$2:$J$301,MATCH($B29,Modelos!$C$2:$C$301,0)),""))</f>
        <v/>
      </c>
      <c r="Q29" s="7" t="str">
        <f>IFERROR(INDEX(Diccionarios!$B$2:$B$201,MATCH($A29,Diccionarios!$D$2:$D$201,0))&amp;"","")</f>
        <v/>
      </c>
      <c r="R29" s="7" t="str">
        <f>IFERROR(INDEX(Diccionarios!$C$2:$C$201,MATCH($A29,Diccionarios!$D$2:$D$201,0))&amp;"","")</f>
        <v/>
      </c>
      <c r="S29" s="7" t="str">
        <f>IFERROR(INDEX(Modelos!$K$2:$K$301,MATCH($B29,Modelos!$C$2:$C$301,0))&amp;"","")</f>
        <v/>
      </c>
      <c r="T29" s="7" t="str">
        <f>IFERROR(INDEX(Modelos!$L$2:$L$301,MATCH($B29,Modelos!$C$2:$C$301,0))&amp;"","")</f>
        <v/>
      </c>
    </row>
    <row r="30" spans="1:20" x14ac:dyDescent="0.25">
      <c r="A30" s="5"/>
      <c r="B30" s="5"/>
      <c r="C30" s="5"/>
      <c r="D30" s="6"/>
      <c r="E30" s="5"/>
      <c r="F30" s="7" t="str">
        <f>IF(AND(A30&lt;&gt;"",B30&lt;&gt;"",C30&lt;&gt;"",D30&lt;&gt;""),LEFT(A30,2)&amp;LEFT(B30,4)&amp;LEFT(C30,2)&amp;SUBSTITUTE(UPPER(D30),"Ú","U"),"")</f>
        <v/>
      </c>
      <c r="G30" s="7" t="str">
        <f>IFERROR(INDEX(Modelos!$B$2:$B$301,MATCH($B30,Modelos!$C$2:$C$301,0))&amp;"","")</f>
        <v/>
      </c>
      <c r="H30" s="7" t="str">
        <f>IFERROR(INDEX(Modelos!$D$2:$D$301,MATCH($B30,Modelos!$C$2:$C$301,0))&amp;"","")</f>
        <v/>
      </c>
      <c r="I30" s="7" t="str">
        <f>IFERROR(INDEX(Modelos!$E$2:$E$301,MATCH($B30,Modelos!$C$2:$C$301,0))&amp;"","")</f>
        <v/>
      </c>
      <c r="J30" s="7" t="str">
        <f>IFERROR(INDEX(Modelos!$F$2:$F$301,MATCH($B30,Modelos!$C$2:$C$301,0))&amp;"","")</f>
        <v/>
      </c>
      <c r="K30" s="7" t="str">
        <f>IFERROR(INDEX(Modelos!$G$2:$G$301,MATCH($B30,Modelos!$C$2:$C$301,0))&amp;"","")</f>
        <v/>
      </c>
      <c r="L30" s="7" t="str">
        <f>IFERROR(INDEX(Diccionarios!$G$2:$G$201,MATCH($C30,Diccionarios!$H$2:$H$201,0))&amp;"","")</f>
        <v/>
      </c>
      <c r="M30" s="7" t="str">
        <f>IF(D30="","",D30&amp;"")</f>
        <v/>
      </c>
      <c r="N30" s="8" t="str">
        <f>IF($B30="","",IFERROR(INDEX(Modelos!$H$2:$H$301,MATCH($B30,Modelos!$C$2:$C$301,0)),""))</f>
        <v/>
      </c>
      <c r="O30" s="8" t="str">
        <f>IF($B30="","",IFERROR(INDEX(Modelos!$I$2:$I$301,MATCH($B30,Modelos!$C$2:$C$301,0)),""))</f>
        <v/>
      </c>
      <c r="P30" s="8" t="str">
        <f>IF($B30="","",IFERROR(INDEX(Modelos!$J$2:$J$301,MATCH($B30,Modelos!$C$2:$C$301,0)),""))</f>
        <v/>
      </c>
      <c r="Q30" s="7" t="str">
        <f>IFERROR(INDEX(Diccionarios!$B$2:$B$201,MATCH($A30,Diccionarios!$D$2:$D$201,0))&amp;"","")</f>
        <v/>
      </c>
      <c r="R30" s="7" t="str">
        <f>IFERROR(INDEX(Diccionarios!$C$2:$C$201,MATCH($A30,Diccionarios!$D$2:$D$201,0))&amp;"","")</f>
        <v/>
      </c>
      <c r="S30" s="7" t="str">
        <f>IFERROR(INDEX(Modelos!$K$2:$K$301,MATCH($B30,Modelos!$C$2:$C$301,0))&amp;"","")</f>
        <v/>
      </c>
      <c r="T30" s="7" t="str">
        <f>IFERROR(INDEX(Modelos!$L$2:$L$301,MATCH($B30,Modelos!$C$2:$C$301,0))&amp;"","")</f>
        <v/>
      </c>
    </row>
    <row r="31" spans="1:20" x14ac:dyDescent="0.25">
      <c r="A31" s="5"/>
      <c r="B31" s="5"/>
      <c r="C31" s="5"/>
      <c r="D31" s="6"/>
      <c r="E31" s="5"/>
      <c r="F31" s="7" t="str">
        <f>IF(AND(A31&lt;&gt;"",B31&lt;&gt;"",C31&lt;&gt;"",D31&lt;&gt;""),LEFT(A31,2)&amp;LEFT(B31,4)&amp;LEFT(C31,2)&amp;SUBSTITUTE(UPPER(D31),"Ú","U"),"")</f>
        <v/>
      </c>
      <c r="G31" s="7" t="str">
        <f>IFERROR(INDEX(Modelos!$B$2:$B$301,MATCH($B31,Modelos!$C$2:$C$301,0))&amp;"","")</f>
        <v/>
      </c>
      <c r="H31" s="7" t="str">
        <f>IFERROR(INDEX(Modelos!$D$2:$D$301,MATCH($B31,Modelos!$C$2:$C$301,0))&amp;"","")</f>
        <v/>
      </c>
      <c r="I31" s="7" t="str">
        <f>IFERROR(INDEX(Modelos!$E$2:$E$301,MATCH($B31,Modelos!$C$2:$C$301,0))&amp;"","")</f>
        <v/>
      </c>
      <c r="J31" s="7" t="str">
        <f>IFERROR(INDEX(Modelos!$F$2:$F$301,MATCH($B31,Modelos!$C$2:$C$301,0))&amp;"","")</f>
        <v/>
      </c>
      <c r="K31" s="7" t="str">
        <f>IFERROR(INDEX(Modelos!$G$2:$G$301,MATCH($B31,Modelos!$C$2:$C$301,0))&amp;"","")</f>
        <v/>
      </c>
      <c r="L31" s="7" t="str">
        <f>IFERROR(INDEX(Diccionarios!$G$2:$G$201,MATCH($C31,Diccionarios!$H$2:$H$201,0))&amp;"","")</f>
        <v/>
      </c>
      <c r="M31" s="7" t="str">
        <f>IF(D31="","",D31&amp;"")</f>
        <v/>
      </c>
      <c r="N31" s="8" t="str">
        <f>IF($B31="","",IFERROR(INDEX(Modelos!$H$2:$H$301,MATCH($B31,Modelos!$C$2:$C$301,0)),""))</f>
        <v/>
      </c>
      <c r="O31" s="8" t="str">
        <f>IF($B31="","",IFERROR(INDEX(Modelos!$I$2:$I$301,MATCH($B31,Modelos!$C$2:$C$301,0)),""))</f>
        <v/>
      </c>
      <c r="P31" s="8" t="str">
        <f>IF($B31="","",IFERROR(INDEX(Modelos!$J$2:$J$301,MATCH($B31,Modelos!$C$2:$C$301,0)),""))</f>
        <v/>
      </c>
      <c r="Q31" s="7" t="str">
        <f>IFERROR(INDEX(Diccionarios!$B$2:$B$201,MATCH($A31,Diccionarios!$D$2:$D$201,0))&amp;"","")</f>
        <v/>
      </c>
      <c r="R31" s="7" t="str">
        <f>IFERROR(INDEX(Diccionarios!$C$2:$C$201,MATCH($A31,Diccionarios!$D$2:$D$201,0))&amp;"","")</f>
        <v/>
      </c>
      <c r="S31" s="7" t="str">
        <f>IFERROR(INDEX(Modelos!$K$2:$K$301,MATCH($B31,Modelos!$C$2:$C$301,0))&amp;"","")</f>
        <v/>
      </c>
      <c r="T31" s="7" t="str">
        <f>IFERROR(INDEX(Modelos!$L$2:$L$301,MATCH($B31,Modelos!$C$2:$C$301,0))&amp;"","")</f>
        <v/>
      </c>
    </row>
    <row r="32" spans="1:20" x14ac:dyDescent="0.25">
      <c r="A32" s="5"/>
      <c r="B32" s="5"/>
      <c r="C32" s="5"/>
      <c r="D32" s="6"/>
      <c r="E32" s="5"/>
      <c r="F32" s="7" t="str">
        <f>IF(AND(A32&lt;&gt;"",B32&lt;&gt;"",C32&lt;&gt;"",D32&lt;&gt;""),LEFT(A32,2)&amp;LEFT(B32,4)&amp;LEFT(C32,2)&amp;SUBSTITUTE(UPPER(D32),"Ú","U"),"")</f>
        <v/>
      </c>
      <c r="G32" s="7" t="str">
        <f>IFERROR(INDEX(Modelos!$B$2:$B$301,MATCH($B32,Modelos!$C$2:$C$301,0))&amp;"","")</f>
        <v/>
      </c>
      <c r="H32" s="7" t="str">
        <f>IFERROR(INDEX(Modelos!$D$2:$D$301,MATCH($B32,Modelos!$C$2:$C$301,0))&amp;"","")</f>
        <v/>
      </c>
      <c r="I32" s="7" t="str">
        <f>IFERROR(INDEX(Modelos!$E$2:$E$301,MATCH($B32,Modelos!$C$2:$C$301,0))&amp;"","")</f>
        <v/>
      </c>
      <c r="J32" s="7" t="str">
        <f>IFERROR(INDEX(Modelos!$F$2:$F$301,MATCH($B32,Modelos!$C$2:$C$301,0))&amp;"","")</f>
        <v/>
      </c>
      <c r="K32" s="7" t="str">
        <f>IFERROR(INDEX(Modelos!$G$2:$G$301,MATCH($B32,Modelos!$C$2:$C$301,0))&amp;"","")</f>
        <v/>
      </c>
      <c r="L32" s="7" t="str">
        <f>IFERROR(INDEX(Diccionarios!$G$2:$G$201,MATCH($C32,Diccionarios!$H$2:$H$201,0))&amp;"","")</f>
        <v/>
      </c>
      <c r="M32" s="7" t="str">
        <f>IF(D32="","",D32&amp;"")</f>
        <v/>
      </c>
      <c r="N32" s="8" t="str">
        <f>IF($B32="","",IFERROR(INDEX(Modelos!$H$2:$H$301,MATCH($B32,Modelos!$C$2:$C$301,0)),""))</f>
        <v/>
      </c>
      <c r="O32" s="8" t="str">
        <f>IF($B32="","",IFERROR(INDEX(Modelos!$I$2:$I$301,MATCH($B32,Modelos!$C$2:$C$301,0)),""))</f>
        <v/>
      </c>
      <c r="P32" s="8" t="str">
        <f>IF($B32="","",IFERROR(INDEX(Modelos!$J$2:$J$301,MATCH($B32,Modelos!$C$2:$C$301,0)),""))</f>
        <v/>
      </c>
      <c r="Q32" s="7" t="str">
        <f>IFERROR(INDEX(Diccionarios!$B$2:$B$201,MATCH($A32,Diccionarios!$D$2:$D$201,0))&amp;"","")</f>
        <v/>
      </c>
      <c r="R32" s="7" t="str">
        <f>IFERROR(INDEX(Diccionarios!$C$2:$C$201,MATCH($A32,Diccionarios!$D$2:$D$201,0))&amp;"","")</f>
        <v/>
      </c>
      <c r="S32" s="7" t="str">
        <f>IFERROR(INDEX(Modelos!$K$2:$K$301,MATCH($B32,Modelos!$C$2:$C$301,0))&amp;"","")</f>
        <v/>
      </c>
      <c r="T32" s="7" t="str">
        <f>IFERROR(INDEX(Modelos!$L$2:$L$301,MATCH($B32,Modelos!$C$2:$C$301,0))&amp;"","")</f>
        <v/>
      </c>
    </row>
    <row r="33" spans="1:20" x14ac:dyDescent="0.25">
      <c r="A33" s="5"/>
      <c r="B33" s="5"/>
      <c r="C33" s="5"/>
      <c r="D33" s="6"/>
      <c r="E33" s="5"/>
      <c r="F33" s="7" t="str">
        <f>IF(AND(A33&lt;&gt;"",B33&lt;&gt;"",C33&lt;&gt;"",D33&lt;&gt;""),LEFT(A33,2)&amp;LEFT(B33,4)&amp;LEFT(C33,2)&amp;SUBSTITUTE(UPPER(D33),"Ú","U"),"")</f>
        <v/>
      </c>
      <c r="G33" s="7" t="str">
        <f>IFERROR(INDEX(Modelos!$B$2:$B$301,MATCH($B33,Modelos!$C$2:$C$301,0))&amp;"","")</f>
        <v/>
      </c>
      <c r="H33" s="7" t="str">
        <f>IFERROR(INDEX(Modelos!$D$2:$D$301,MATCH($B33,Modelos!$C$2:$C$301,0))&amp;"","")</f>
        <v/>
      </c>
      <c r="I33" s="7" t="str">
        <f>IFERROR(INDEX(Modelos!$E$2:$E$301,MATCH($B33,Modelos!$C$2:$C$301,0))&amp;"","")</f>
        <v/>
      </c>
      <c r="J33" s="7" t="str">
        <f>IFERROR(INDEX(Modelos!$F$2:$F$301,MATCH($B33,Modelos!$C$2:$C$301,0))&amp;"","")</f>
        <v/>
      </c>
      <c r="K33" s="7" t="str">
        <f>IFERROR(INDEX(Modelos!$G$2:$G$301,MATCH($B33,Modelos!$C$2:$C$301,0))&amp;"","")</f>
        <v/>
      </c>
      <c r="L33" s="7" t="str">
        <f>IFERROR(INDEX(Diccionarios!$G$2:$G$201,MATCH($C33,Diccionarios!$H$2:$H$201,0))&amp;"","")</f>
        <v/>
      </c>
      <c r="M33" s="7" t="str">
        <f>IF(D33="","",D33&amp;"")</f>
        <v/>
      </c>
      <c r="N33" s="8" t="str">
        <f>IF($B33="","",IFERROR(INDEX(Modelos!$H$2:$H$301,MATCH($B33,Modelos!$C$2:$C$301,0)),""))</f>
        <v/>
      </c>
      <c r="O33" s="8" t="str">
        <f>IF($B33="","",IFERROR(INDEX(Modelos!$I$2:$I$301,MATCH($B33,Modelos!$C$2:$C$301,0)),""))</f>
        <v/>
      </c>
      <c r="P33" s="8" t="str">
        <f>IF($B33="","",IFERROR(INDEX(Modelos!$J$2:$J$301,MATCH($B33,Modelos!$C$2:$C$301,0)),""))</f>
        <v/>
      </c>
      <c r="Q33" s="7" t="str">
        <f>IFERROR(INDEX(Diccionarios!$B$2:$B$201,MATCH($A33,Diccionarios!$D$2:$D$201,0))&amp;"","")</f>
        <v/>
      </c>
      <c r="R33" s="7" t="str">
        <f>IFERROR(INDEX(Diccionarios!$C$2:$C$201,MATCH($A33,Diccionarios!$D$2:$D$201,0))&amp;"","")</f>
        <v/>
      </c>
      <c r="S33" s="7" t="str">
        <f>IFERROR(INDEX(Modelos!$K$2:$K$301,MATCH($B33,Modelos!$C$2:$C$301,0))&amp;"","")</f>
        <v/>
      </c>
      <c r="T33" s="7" t="str">
        <f>IFERROR(INDEX(Modelos!$L$2:$L$301,MATCH($B33,Modelos!$C$2:$C$301,0))&amp;"","")</f>
        <v/>
      </c>
    </row>
    <row r="34" spans="1:20" x14ac:dyDescent="0.25">
      <c r="A34" s="5"/>
      <c r="B34" s="5"/>
      <c r="C34" s="5"/>
      <c r="D34" s="6"/>
      <c r="E34" s="5"/>
      <c r="F34" s="7" t="str">
        <f>IF(AND(A34&lt;&gt;"",B34&lt;&gt;"",C34&lt;&gt;"",D34&lt;&gt;""),LEFT(A34,2)&amp;LEFT(B34,4)&amp;LEFT(C34,2)&amp;SUBSTITUTE(UPPER(D34),"Ú","U"),"")</f>
        <v/>
      </c>
      <c r="G34" s="7" t="str">
        <f>IFERROR(INDEX(Modelos!$B$2:$B$301,MATCH($B34,Modelos!$C$2:$C$301,0))&amp;"","")</f>
        <v/>
      </c>
      <c r="H34" s="7" t="str">
        <f>IFERROR(INDEX(Modelos!$D$2:$D$301,MATCH($B34,Modelos!$C$2:$C$301,0))&amp;"","")</f>
        <v/>
      </c>
      <c r="I34" s="7" t="str">
        <f>IFERROR(INDEX(Modelos!$E$2:$E$301,MATCH($B34,Modelos!$C$2:$C$301,0))&amp;"","")</f>
        <v/>
      </c>
      <c r="J34" s="7" t="str">
        <f>IFERROR(INDEX(Modelos!$F$2:$F$301,MATCH($B34,Modelos!$C$2:$C$301,0))&amp;"","")</f>
        <v/>
      </c>
      <c r="K34" s="7" t="str">
        <f>IFERROR(INDEX(Modelos!$G$2:$G$301,MATCH($B34,Modelos!$C$2:$C$301,0))&amp;"","")</f>
        <v/>
      </c>
      <c r="L34" s="7" t="str">
        <f>IFERROR(INDEX(Diccionarios!$G$2:$G$201,MATCH($C34,Diccionarios!$H$2:$H$201,0))&amp;"","")</f>
        <v/>
      </c>
      <c r="M34" s="7" t="str">
        <f>IF(D34="","",D34&amp;"")</f>
        <v/>
      </c>
      <c r="N34" s="8" t="str">
        <f>IF($B34="","",IFERROR(INDEX(Modelos!$H$2:$H$301,MATCH($B34,Modelos!$C$2:$C$301,0)),""))</f>
        <v/>
      </c>
      <c r="O34" s="8" t="str">
        <f>IF($B34="","",IFERROR(INDEX(Modelos!$I$2:$I$301,MATCH($B34,Modelos!$C$2:$C$301,0)),""))</f>
        <v/>
      </c>
      <c r="P34" s="8" t="str">
        <f>IF($B34="","",IFERROR(INDEX(Modelos!$J$2:$J$301,MATCH($B34,Modelos!$C$2:$C$301,0)),""))</f>
        <v/>
      </c>
      <c r="Q34" s="7" t="str">
        <f>IFERROR(INDEX(Diccionarios!$B$2:$B$201,MATCH($A34,Diccionarios!$D$2:$D$201,0))&amp;"","")</f>
        <v/>
      </c>
      <c r="R34" s="7" t="str">
        <f>IFERROR(INDEX(Diccionarios!$C$2:$C$201,MATCH($A34,Diccionarios!$D$2:$D$201,0))&amp;"","")</f>
        <v/>
      </c>
      <c r="S34" s="7" t="str">
        <f>IFERROR(INDEX(Modelos!$K$2:$K$301,MATCH($B34,Modelos!$C$2:$C$301,0))&amp;"","")</f>
        <v/>
      </c>
      <c r="T34" s="7" t="str">
        <f>IFERROR(INDEX(Modelos!$L$2:$L$301,MATCH($B34,Modelos!$C$2:$C$301,0))&amp;"","")</f>
        <v/>
      </c>
    </row>
    <row r="35" spans="1:20" x14ac:dyDescent="0.25">
      <c r="A35" s="5"/>
      <c r="B35" s="5"/>
      <c r="C35" s="5"/>
      <c r="D35" s="6"/>
      <c r="E35" s="5"/>
      <c r="F35" s="7" t="str">
        <f>IF(AND(A35&lt;&gt;"",B35&lt;&gt;"",C35&lt;&gt;"",D35&lt;&gt;""),LEFT(A35,2)&amp;LEFT(B35,4)&amp;LEFT(C35,2)&amp;SUBSTITUTE(UPPER(D35),"Ú","U"),"")</f>
        <v/>
      </c>
      <c r="G35" s="7" t="str">
        <f>IFERROR(INDEX(Modelos!$B$2:$B$301,MATCH($B35,Modelos!$C$2:$C$301,0))&amp;"","")</f>
        <v/>
      </c>
      <c r="H35" s="7" t="str">
        <f>IFERROR(INDEX(Modelos!$D$2:$D$301,MATCH($B35,Modelos!$C$2:$C$301,0))&amp;"","")</f>
        <v/>
      </c>
      <c r="I35" s="7" t="str">
        <f>IFERROR(INDEX(Modelos!$E$2:$E$301,MATCH($B35,Modelos!$C$2:$C$301,0))&amp;"","")</f>
        <v/>
      </c>
      <c r="J35" s="7" t="str">
        <f>IFERROR(INDEX(Modelos!$F$2:$F$301,MATCH($B35,Modelos!$C$2:$C$301,0))&amp;"","")</f>
        <v/>
      </c>
      <c r="K35" s="7" t="str">
        <f>IFERROR(INDEX(Modelos!$G$2:$G$301,MATCH($B35,Modelos!$C$2:$C$301,0))&amp;"","")</f>
        <v/>
      </c>
      <c r="L35" s="7" t="str">
        <f>IFERROR(INDEX(Diccionarios!$G$2:$G$201,MATCH($C35,Diccionarios!$H$2:$H$201,0))&amp;"","")</f>
        <v/>
      </c>
      <c r="M35" s="7" t="str">
        <f>IF(D35="","",D35&amp;"")</f>
        <v/>
      </c>
      <c r="N35" s="8" t="str">
        <f>IF($B35="","",IFERROR(INDEX(Modelos!$H$2:$H$301,MATCH($B35,Modelos!$C$2:$C$301,0)),""))</f>
        <v/>
      </c>
      <c r="O35" s="8" t="str">
        <f>IF($B35="","",IFERROR(INDEX(Modelos!$I$2:$I$301,MATCH($B35,Modelos!$C$2:$C$301,0)),""))</f>
        <v/>
      </c>
      <c r="P35" s="8" t="str">
        <f>IF($B35="","",IFERROR(INDEX(Modelos!$J$2:$J$301,MATCH($B35,Modelos!$C$2:$C$301,0)),""))</f>
        <v/>
      </c>
      <c r="Q35" s="7" t="str">
        <f>IFERROR(INDEX(Diccionarios!$B$2:$B$201,MATCH($A35,Diccionarios!$D$2:$D$201,0))&amp;"","")</f>
        <v/>
      </c>
      <c r="R35" s="7" t="str">
        <f>IFERROR(INDEX(Diccionarios!$C$2:$C$201,MATCH($A35,Diccionarios!$D$2:$D$201,0))&amp;"","")</f>
        <v/>
      </c>
      <c r="S35" s="7" t="str">
        <f>IFERROR(INDEX(Modelos!$K$2:$K$301,MATCH($B35,Modelos!$C$2:$C$301,0))&amp;"","")</f>
        <v/>
      </c>
      <c r="T35" s="7" t="str">
        <f>IFERROR(INDEX(Modelos!$L$2:$L$301,MATCH($B35,Modelos!$C$2:$C$301,0))&amp;"","")</f>
        <v/>
      </c>
    </row>
    <row r="36" spans="1:20" x14ac:dyDescent="0.25">
      <c r="A36" s="5"/>
      <c r="B36" s="5"/>
      <c r="C36" s="5"/>
      <c r="D36" s="6"/>
      <c r="E36" s="5"/>
      <c r="F36" s="7" t="str">
        <f>IF(AND(A36&lt;&gt;"",B36&lt;&gt;"",C36&lt;&gt;"",D36&lt;&gt;""),LEFT(A36,2)&amp;LEFT(B36,4)&amp;LEFT(C36,2)&amp;SUBSTITUTE(UPPER(D36),"Ú","U"),"")</f>
        <v/>
      </c>
      <c r="G36" s="7" t="str">
        <f>IFERROR(INDEX(Modelos!$B$2:$B$301,MATCH($B36,Modelos!$C$2:$C$301,0))&amp;"","")</f>
        <v/>
      </c>
      <c r="H36" s="7" t="str">
        <f>IFERROR(INDEX(Modelos!$D$2:$D$301,MATCH($B36,Modelos!$C$2:$C$301,0))&amp;"","")</f>
        <v/>
      </c>
      <c r="I36" s="7" t="str">
        <f>IFERROR(INDEX(Modelos!$E$2:$E$301,MATCH($B36,Modelos!$C$2:$C$301,0))&amp;"","")</f>
        <v/>
      </c>
      <c r="J36" s="7" t="str">
        <f>IFERROR(INDEX(Modelos!$F$2:$F$301,MATCH($B36,Modelos!$C$2:$C$301,0))&amp;"","")</f>
        <v/>
      </c>
      <c r="K36" s="7" t="str">
        <f>IFERROR(INDEX(Modelos!$G$2:$G$301,MATCH($B36,Modelos!$C$2:$C$301,0))&amp;"","")</f>
        <v/>
      </c>
      <c r="L36" s="7" t="str">
        <f>IFERROR(INDEX(Diccionarios!$G$2:$G$201,MATCH($C36,Diccionarios!$H$2:$H$201,0))&amp;"","")</f>
        <v/>
      </c>
      <c r="M36" s="7" t="str">
        <f>IF(D36="","",D36&amp;"")</f>
        <v/>
      </c>
      <c r="N36" s="8" t="str">
        <f>IF($B36="","",IFERROR(INDEX(Modelos!$H$2:$H$301,MATCH($B36,Modelos!$C$2:$C$301,0)),""))</f>
        <v/>
      </c>
      <c r="O36" s="8" t="str">
        <f>IF($B36="","",IFERROR(INDEX(Modelos!$I$2:$I$301,MATCH($B36,Modelos!$C$2:$C$301,0)),""))</f>
        <v/>
      </c>
      <c r="P36" s="8" t="str">
        <f>IF($B36="","",IFERROR(INDEX(Modelos!$J$2:$J$301,MATCH($B36,Modelos!$C$2:$C$301,0)),""))</f>
        <v/>
      </c>
      <c r="Q36" s="7" t="str">
        <f>IFERROR(INDEX(Diccionarios!$B$2:$B$201,MATCH($A36,Diccionarios!$D$2:$D$201,0))&amp;"","")</f>
        <v/>
      </c>
      <c r="R36" s="7" t="str">
        <f>IFERROR(INDEX(Diccionarios!$C$2:$C$201,MATCH($A36,Diccionarios!$D$2:$D$201,0))&amp;"","")</f>
        <v/>
      </c>
      <c r="S36" s="7" t="str">
        <f>IFERROR(INDEX(Modelos!$K$2:$K$301,MATCH($B36,Modelos!$C$2:$C$301,0))&amp;"","")</f>
        <v/>
      </c>
      <c r="T36" s="7" t="str">
        <f>IFERROR(INDEX(Modelos!$L$2:$L$301,MATCH($B36,Modelos!$C$2:$C$301,0))&amp;"","")</f>
        <v/>
      </c>
    </row>
    <row r="37" spans="1:20" x14ac:dyDescent="0.25">
      <c r="A37" s="5"/>
      <c r="B37" s="5"/>
      <c r="C37" s="5"/>
      <c r="D37" s="6"/>
      <c r="E37" s="5"/>
      <c r="F37" s="7" t="str">
        <f>IF(AND(A37&lt;&gt;"",B37&lt;&gt;"",C37&lt;&gt;"",D37&lt;&gt;""),LEFT(A37,2)&amp;LEFT(B37,4)&amp;LEFT(C37,2)&amp;SUBSTITUTE(UPPER(D37),"Ú","U"),"")</f>
        <v/>
      </c>
      <c r="G37" s="7" t="str">
        <f>IFERROR(INDEX(Modelos!$B$2:$B$301,MATCH($B37,Modelos!$C$2:$C$301,0))&amp;"","")</f>
        <v/>
      </c>
      <c r="H37" s="7" t="str">
        <f>IFERROR(INDEX(Modelos!$D$2:$D$301,MATCH($B37,Modelos!$C$2:$C$301,0))&amp;"","")</f>
        <v/>
      </c>
      <c r="I37" s="7" t="str">
        <f>IFERROR(INDEX(Modelos!$E$2:$E$301,MATCH($B37,Modelos!$C$2:$C$301,0))&amp;"","")</f>
        <v/>
      </c>
      <c r="J37" s="7" t="str">
        <f>IFERROR(INDEX(Modelos!$F$2:$F$301,MATCH($B37,Modelos!$C$2:$C$301,0))&amp;"","")</f>
        <v/>
      </c>
      <c r="K37" s="7" t="str">
        <f>IFERROR(INDEX(Modelos!$G$2:$G$301,MATCH($B37,Modelos!$C$2:$C$301,0))&amp;"","")</f>
        <v/>
      </c>
      <c r="L37" s="7" t="str">
        <f>IFERROR(INDEX(Diccionarios!$G$2:$G$201,MATCH($C37,Diccionarios!$H$2:$H$201,0))&amp;"","")</f>
        <v/>
      </c>
      <c r="M37" s="7" t="str">
        <f>IF(D37="","",D37&amp;"")</f>
        <v/>
      </c>
      <c r="N37" s="8" t="str">
        <f>IF($B37="","",IFERROR(INDEX(Modelos!$H$2:$H$301,MATCH($B37,Modelos!$C$2:$C$301,0)),""))</f>
        <v/>
      </c>
      <c r="O37" s="8" t="str">
        <f>IF($B37="","",IFERROR(INDEX(Modelos!$I$2:$I$301,MATCH($B37,Modelos!$C$2:$C$301,0)),""))</f>
        <v/>
      </c>
      <c r="P37" s="8" t="str">
        <f>IF($B37="","",IFERROR(INDEX(Modelos!$J$2:$J$301,MATCH($B37,Modelos!$C$2:$C$301,0)),""))</f>
        <v/>
      </c>
      <c r="Q37" s="7" t="str">
        <f>IFERROR(INDEX(Diccionarios!$B$2:$B$201,MATCH($A37,Diccionarios!$D$2:$D$201,0))&amp;"","")</f>
        <v/>
      </c>
      <c r="R37" s="7" t="str">
        <f>IFERROR(INDEX(Diccionarios!$C$2:$C$201,MATCH($A37,Diccionarios!$D$2:$D$201,0))&amp;"","")</f>
        <v/>
      </c>
      <c r="S37" s="7" t="str">
        <f>IFERROR(INDEX(Modelos!$K$2:$K$301,MATCH($B37,Modelos!$C$2:$C$301,0))&amp;"","")</f>
        <v/>
      </c>
      <c r="T37" s="7" t="str">
        <f>IFERROR(INDEX(Modelos!$L$2:$L$301,MATCH($B37,Modelos!$C$2:$C$301,0))&amp;"","")</f>
        <v/>
      </c>
    </row>
    <row r="38" spans="1:20" x14ac:dyDescent="0.25">
      <c r="A38" s="5"/>
      <c r="B38" s="5"/>
      <c r="C38" s="5"/>
      <c r="D38" s="6"/>
      <c r="E38" s="5"/>
      <c r="F38" s="7" t="str">
        <f>IF(AND(A38&lt;&gt;"",B38&lt;&gt;"",C38&lt;&gt;"",D38&lt;&gt;""),LEFT(A38,2)&amp;LEFT(B38,4)&amp;LEFT(C38,2)&amp;SUBSTITUTE(UPPER(D38),"Ú","U"),"")</f>
        <v/>
      </c>
      <c r="G38" s="7" t="str">
        <f>IFERROR(INDEX(Modelos!$B$2:$B$301,MATCH($B38,Modelos!$C$2:$C$301,0))&amp;"","")</f>
        <v/>
      </c>
      <c r="H38" s="7" t="str">
        <f>IFERROR(INDEX(Modelos!$D$2:$D$301,MATCH($B38,Modelos!$C$2:$C$301,0))&amp;"","")</f>
        <v/>
      </c>
      <c r="I38" s="7" t="str">
        <f>IFERROR(INDEX(Modelos!$E$2:$E$301,MATCH($B38,Modelos!$C$2:$C$301,0))&amp;"","")</f>
        <v/>
      </c>
      <c r="J38" s="7" t="str">
        <f>IFERROR(INDEX(Modelos!$F$2:$F$301,MATCH($B38,Modelos!$C$2:$C$301,0))&amp;"","")</f>
        <v/>
      </c>
      <c r="K38" s="7" t="str">
        <f>IFERROR(INDEX(Modelos!$G$2:$G$301,MATCH($B38,Modelos!$C$2:$C$301,0))&amp;"","")</f>
        <v/>
      </c>
      <c r="L38" s="7" t="str">
        <f>IFERROR(INDEX(Diccionarios!$G$2:$G$201,MATCH($C38,Diccionarios!$H$2:$H$201,0))&amp;"","")</f>
        <v/>
      </c>
      <c r="M38" s="7" t="str">
        <f>IF(D38="","",D38&amp;"")</f>
        <v/>
      </c>
      <c r="N38" s="8" t="str">
        <f>IF($B38="","",IFERROR(INDEX(Modelos!$H$2:$H$301,MATCH($B38,Modelos!$C$2:$C$301,0)),""))</f>
        <v/>
      </c>
      <c r="O38" s="8" t="str">
        <f>IF($B38="","",IFERROR(INDEX(Modelos!$I$2:$I$301,MATCH($B38,Modelos!$C$2:$C$301,0)),""))</f>
        <v/>
      </c>
      <c r="P38" s="8" t="str">
        <f>IF($B38="","",IFERROR(INDEX(Modelos!$J$2:$J$301,MATCH($B38,Modelos!$C$2:$C$301,0)),""))</f>
        <v/>
      </c>
      <c r="Q38" s="7" t="str">
        <f>IFERROR(INDEX(Diccionarios!$B$2:$B$201,MATCH($A38,Diccionarios!$D$2:$D$201,0))&amp;"","")</f>
        <v/>
      </c>
      <c r="R38" s="7" t="str">
        <f>IFERROR(INDEX(Diccionarios!$C$2:$C$201,MATCH($A38,Diccionarios!$D$2:$D$201,0))&amp;"","")</f>
        <v/>
      </c>
      <c r="S38" s="7" t="str">
        <f>IFERROR(INDEX(Modelos!$K$2:$K$301,MATCH($B38,Modelos!$C$2:$C$301,0))&amp;"","")</f>
        <v/>
      </c>
      <c r="T38" s="7" t="str">
        <f>IFERROR(INDEX(Modelos!$L$2:$L$301,MATCH($B38,Modelos!$C$2:$C$301,0))&amp;"","")</f>
        <v/>
      </c>
    </row>
    <row r="39" spans="1:20" x14ac:dyDescent="0.25">
      <c r="A39" s="5"/>
      <c r="B39" s="5"/>
      <c r="C39" s="5"/>
      <c r="D39" s="6"/>
      <c r="E39" s="5"/>
      <c r="F39" s="7" t="str">
        <f>IF(AND(A39&lt;&gt;"",B39&lt;&gt;"",C39&lt;&gt;"",D39&lt;&gt;""),LEFT(A39,2)&amp;LEFT(B39,4)&amp;LEFT(C39,2)&amp;SUBSTITUTE(UPPER(D39),"Ú","U"),"")</f>
        <v/>
      </c>
      <c r="G39" s="7" t="str">
        <f>IFERROR(INDEX(Modelos!$B$2:$B$301,MATCH($B39,Modelos!$C$2:$C$301,0))&amp;"","")</f>
        <v/>
      </c>
      <c r="H39" s="7" t="str">
        <f>IFERROR(INDEX(Modelos!$D$2:$D$301,MATCH($B39,Modelos!$C$2:$C$301,0))&amp;"","")</f>
        <v/>
      </c>
      <c r="I39" s="7" t="str">
        <f>IFERROR(INDEX(Modelos!$E$2:$E$301,MATCH($B39,Modelos!$C$2:$C$301,0))&amp;"","")</f>
        <v/>
      </c>
      <c r="J39" s="7" t="str">
        <f>IFERROR(INDEX(Modelos!$F$2:$F$301,MATCH($B39,Modelos!$C$2:$C$301,0))&amp;"","")</f>
        <v/>
      </c>
      <c r="K39" s="7" t="str">
        <f>IFERROR(INDEX(Modelos!$G$2:$G$301,MATCH($B39,Modelos!$C$2:$C$301,0))&amp;"","")</f>
        <v/>
      </c>
      <c r="L39" s="7" t="str">
        <f>IFERROR(INDEX(Diccionarios!$G$2:$G$201,MATCH($C39,Diccionarios!$H$2:$H$201,0))&amp;"","")</f>
        <v/>
      </c>
      <c r="M39" s="7" t="str">
        <f>IF(D39="","",D39&amp;"")</f>
        <v/>
      </c>
      <c r="N39" s="8" t="str">
        <f>IF($B39="","",IFERROR(INDEX(Modelos!$H$2:$H$301,MATCH($B39,Modelos!$C$2:$C$301,0)),""))</f>
        <v/>
      </c>
      <c r="O39" s="8" t="str">
        <f>IF($B39="","",IFERROR(INDEX(Modelos!$I$2:$I$301,MATCH($B39,Modelos!$C$2:$C$301,0)),""))</f>
        <v/>
      </c>
      <c r="P39" s="8" t="str">
        <f>IF($B39="","",IFERROR(INDEX(Modelos!$J$2:$J$301,MATCH($B39,Modelos!$C$2:$C$301,0)),""))</f>
        <v/>
      </c>
      <c r="Q39" s="7" t="str">
        <f>IFERROR(INDEX(Diccionarios!$B$2:$B$201,MATCH($A39,Diccionarios!$D$2:$D$201,0))&amp;"","")</f>
        <v/>
      </c>
      <c r="R39" s="7" t="str">
        <f>IFERROR(INDEX(Diccionarios!$C$2:$C$201,MATCH($A39,Diccionarios!$D$2:$D$201,0))&amp;"","")</f>
        <v/>
      </c>
      <c r="S39" s="7" t="str">
        <f>IFERROR(INDEX(Modelos!$K$2:$K$301,MATCH($B39,Modelos!$C$2:$C$301,0))&amp;"","")</f>
        <v/>
      </c>
      <c r="T39" s="7" t="str">
        <f>IFERROR(INDEX(Modelos!$L$2:$L$301,MATCH($B39,Modelos!$C$2:$C$301,0))&amp;"","")</f>
        <v/>
      </c>
    </row>
    <row r="40" spans="1:20" x14ac:dyDescent="0.25">
      <c r="A40" s="5"/>
      <c r="B40" s="5"/>
      <c r="C40" s="5"/>
      <c r="D40" s="6"/>
      <c r="E40" s="5"/>
      <c r="F40" s="7" t="str">
        <f>IF(AND(A40&lt;&gt;"",B40&lt;&gt;"",C40&lt;&gt;"",D40&lt;&gt;""),LEFT(A40,2)&amp;LEFT(B40,4)&amp;LEFT(C40,2)&amp;SUBSTITUTE(UPPER(D40),"Ú","U"),"")</f>
        <v/>
      </c>
      <c r="G40" s="7" t="str">
        <f>IFERROR(INDEX(Modelos!$B$2:$B$301,MATCH($B40,Modelos!$C$2:$C$301,0))&amp;"","")</f>
        <v/>
      </c>
      <c r="H40" s="7" t="str">
        <f>IFERROR(INDEX(Modelos!$D$2:$D$301,MATCH($B40,Modelos!$C$2:$C$301,0))&amp;"","")</f>
        <v/>
      </c>
      <c r="I40" s="7" t="str">
        <f>IFERROR(INDEX(Modelos!$E$2:$E$301,MATCH($B40,Modelos!$C$2:$C$301,0))&amp;"","")</f>
        <v/>
      </c>
      <c r="J40" s="7" t="str">
        <f>IFERROR(INDEX(Modelos!$F$2:$F$301,MATCH($B40,Modelos!$C$2:$C$301,0))&amp;"","")</f>
        <v/>
      </c>
      <c r="K40" s="7" t="str">
        <f>IFERROR(INDEX(Modelos!$G$2:$G$301,MATCH($B40,Modelos!$C$2:$C$301,0))&amp;"","")</f>
        <v/>
      </c>
      <c r="L40" s="7" t="str">
        <f>IFERROR(INDEX(Diccionarios!$G$2:$G$201,MATCH($C40,Diccionarios!$H$2:$H$201,0))&amp;"","")</f>
        <v/>
      </c>
      <c r="M40" s="7" t="str">
        <f>IF(D40="","",D40&amp;"")</f>
        <v/>
      </c>
      <c r="N40" s="8" t="str">
        <f>IF($B40="","",IFERROR(INDEX(Modelos!$H$2:$H$301,MATCH($B40,Modelos!$C$2:$C$301,0)),""))</f>
        <v/>
      </c>
      <c r="O40" s="8" t="str">
        <f>IF($B40="","",IFERROR(INDEX(Modelos!$I$2:$I$301,MATCH($B40,Modelos!$C$2:$C$301,0)),""))</f>
        <v/>
      </c>
      <c r="P40" s="8" t="str">
        <f>IF($B40="","",IFERROR(INDEX(Modelos!$J$2:$J$301,MATCH($B40,Modelos!$C$2:$C$301,0)),""))</f>
        <v/>
      </c>
      <c r="Q40" s="7" t="str">
        <f>IFERROR(INDEX(Diccionarios!$B$2:$B$201,MATCH($A40,Diccionarios!$D$2:$D$201,0))&amp;"","")</f>
        <v/>
      </c>
      <c r="R40" s="7" t="str">
        <f>IFERROR(INDEX(Diccionarios!$C$2:$C$201,MATCH($A40,Diccionarios!$D$2:$D$201,0))&amp;"","")</f>
        <v/>
      </c>
      <c r="S40" s="7" t="str">
        <f>IFERROR(INDEX(Modelos!$K$2:$K$301,MATCH($B40,Modelos!$C$2:$C$301,0))&amp;"","")</f>
        <v/>
      </c>
      <c r="T40" s="7" t="str">
        <f>IFERROR(INDEX(Modelos!$L$2:$L$301,MATCH($B40,Modelos!$C$2:$C$301,0))&amp;"","")</f>
        <v/>
      </c>
    </row>
    <row r="41" spans="1:20" x14ac:dyDescent="0.25">
      <c r="A41" s="5"/>
      <c r="B41" s="5"/>
      <c r="C41" s="5"/>
      <c r="D41" s="6"/>
      <c r="E41" s="5"/>
      <c r="F41" s="7" t="str">
        <f>IF(AND(A41&lt;&gt;"",B41&lt;&gt;"",C41&lt;&gt;"",D41&lt;&gt;""),LEFT(A41,2)&amp;LEFT(B41,4)&amp;LEFT(C41,2)&amp;SUBSTITUTE(UPPER(D41),"Ú","U"),"")</f>
        <v/>
      </c>
      <c r="G41" s="7" t="str">
        <f>IFERROR(INDEX(Modelos!$B$2:$B$301,MATCH($B41,Modelos!$C$2:$C$301,0))&amp;"","")</f>
        <v/>
      </c>
      <c r="H41" s="7" t="str">
        <f>IFERROR(INDEX(Modelos!$D$2:$D$301,MATCH($B41,Modelos!$C$2:$C$301,0))&amp;"","")</f>
        <v/>
      </c>
      <c r="I41" s="7" t="str">
        <f>IFERROR(INDEX(Modelos!$E$2:$E$301,MATCH($B41,Modelos!$C$2:$C$301,0))&amp;"","")</f>
        <v/>
      </c>
      <c r="J41" s="7" t="str">
        <f>IFERROR(INDEX(Modelos!$F$2:$F$301,MATCH($B41,Modelos!$C$2:$C$301,0))&amp;"","")</f>
        <v/>
      </c>
      <c r="K41" s="7" t="str">
        <f>IFERROR(INDEX(Modelos!$G$2:$G$301,MATCH($B41,Modelos!$C$2:$C$301,0))&amp;"","")</f>
        <v/>
      </c>
      <c r="L41" s="7" t="str">
        <f>IFERROR(INDEX(Diccionarios!$G$2:$G$201,MATCH($C41,Diccionarios!$H$2:$H$201,0))&amp;"","")</f>
        <v/>
      </c>
      <c r="M41" s="7" t="str">
        <f>IF(D41="","",D41&amp;"")</f>
        <v/>
      </c>
      <c r="N41" s="8" t="str">
        <f>IF($B41="","",IFERROR(INDEX(Modelos!$H$2:$H$301,MATCH($B41,Modelos!$C$2:$C$301,0)),""))</f>
        <v/>
      </c>
      <c r="O41" s="8" t="str">
        <f>IF($B41="","",IFERROR(INDEX(Modelos!$I$2:$I$301,MATCH($B41,Modelos!$C$2:$C$301,0)),""))</f>
        <v/>
      </c>
      <c r="P41" s="8" t="str">
        <f>IF($B41="","",IFERROR(INDEX(Modelos!$J$2:$J$301,MATCH($B41,Modelos!$C$2:$C$301,0)),""))</f>
        <v/>
      </c>
      <c r="Q41" s="7" t="str">
        <f>IFERROR(INDEX(Diccionarios!$B$2:$B$201,MATCH($A41,Diccionarios!$D$2:$D$201,0))&amp;"","")</f>
        <v/>
      </c>
      <c r="R41" s="7" t="str">
        <f>IFERROR(INDEX(Diccionarios!$C$2:$C$201,MATCH($A41,Diccionarios!$D$2:$D$201,0))&amp;"","")</f>
        <v/>
      </c>
      <c r="S41" s="7" t="str">
        <f>IFERROR(INDEX(Modelos!$K$2:$K$301,MATCH($B41,Modelos!$C$2:$C$301,0))&amp;"","")</f>
        <v/>
      </c>
      <c r="T41" s="7" t="str">
        <f>IFERROR(INDEX(Modelos!$L$2:$L$301,MATCH($B41,Modelos!$C$2:$C$301,0))&amp;"","")</f>
        <v/>
      </c>
    </row>
    <row r="42" spans="1:20" x14ac:dyDescent="0.25">
      <c r="A42" s="5"/>
      <c r="B42" s="5"/>
      <c r="C42" s="5"/>
      <c r="D42" s="6"/>
      <c r="E42" s="5"/>
      <c r="F42" s="7" t="str">
        <f>IF(AND(A42&lt;&gt;"",B42&lt;&gt;"",C42&lt;&gt;"",D42&lt;&gt;""),LEFT(A42,2)&amp;LEFT(B42,4)&amp;LEFT(C42,2)&amp;SUBSTITUTE(UPPER(D42),"Ú","U"),"")</f>
        <v/>
      </c>
      <c r="G42" s="7" t="str">
        <f>IFERROR(INDEX(Modelos!$B$2:$B$301,MATCH($B42,Modelos!$C$2:$C$301,0))&amp;"","")</f>
        <v/>
      </c>
      <c r="H42" s="7" t="str">
        <f>IFERROR(INDEX(Modelos!$D$2:$D$301,MATCH($B42,Modelos!$C$2:$C$301,0))&amp;"","")</f>
        <v/>
      </c>
      <c r="I42" s="7" t="str">
        <f>IFERROR(INDEX(Modelos!$E$2:$E$301,MATCH($B42,Modelos!$C$2:$C$301,0))&amp;"","")</f>
        <v/>
      </c>
      <c r="J42" s="7" t="str">
        <f>IFERROR(INDEX(Modelos!$F$2:$F$301,MATCH($B42,Modelos!$C$2:$C$301,0))&amp;"","")</f>
        <v/>
      </c>
      <c r="K42" s="7" t="str">
        <f>IFERROR(INDEX(Modelos!$G$2:$G$301,MATCH($B42,Modelos!$C$2:$C$301,0))&amp;"","")</f>
        <v/>
      </c>
      <c r="L42" s="7" t="str">
        <f>IFERROR(INDEX(Diccionarios!$G$2:$G$201,MATCH($C42,Diccionarios!$H$2:$H$201,0))&amp;"","")</f>
        <v/>
      </c>
      <c r="M42" s="7" t="str">
        <f>IF(D42="","",D42&amp;"")</f>
        <v/>
      </c>
      <c r="N42" s="8" t="str">
        <f>IF($B42="","",IFERROR(INDEX(Modelos!$H$2:$H$301,MATCH($B42,Modelos!$C$2:$C$301,0)),""))</f>
        <v/>
      </c>
      <c r="O42" s="8" t="str">
        <f>IF($B42="","",IFERROR(INDEX(Modelos!$I$2:$I$301,MATCH($B42,Modelos!$C$2:$C$301,0)),""))</f>
        <v/>
      </c>
      <c r="P42" s="8" t="str">
        <f>IF($B42="","",IFERROR(INDEX(Modelos!$J$2:$J$301,MATCH($B42,Modelos!$C$2:$C$301,0)),""))</f>
        <v/>
      </c>
      <c r="Q42" s="7" t="str">
        <f>IFERROR(INDEX(Diccionarios!$B$2:$B$201,MATCH($A42,Diccionarios!$D$2:$D$201,0))&amp;"","")</f>
        <v/>
      </c>
      <c r="R42" s="7" t="str">
        <f>IFERROR(INDEX(Diccionarios!$C$2:$C$201,MATCH($A42,Diccionarios!$D$2:$D$201,0))&amp;"","")</f>
        <v/>
      </c>
      <c r="S42" s="7" t="str">
        <f>IFERROR(INDEX(Modelos!$K$2:$K$301,MATCH($B42,Modelos!$C$2:$C$301,0))&amp;"","")</f>
        <v/>
      </c>
      <c r="T42" s="7" t="str">
        <f>IFERROR(INDEX(Modelos!$L$2:$L$301,MATCH($B42,Modelos!$C$2:$C$301,0))&amp;"","")</f>
        <v/>
      </c>
    </row>
    <row r="43" spans="1:20" x14ac:dyDescent="0.25">
      <c r="A43" s="5"/>
      <c r="B43" s="5"/>
      <c r="C43" s="5"/>
      <c r="D43" s="6"/>
      <c r="E43" s="5"/>
      <c r="F43" s="7" t="str">
        <f>IF(AND(A43&lt;&gt;"",B43&lt;&gt;"",C43&lt;&gt;"",D43&lt;&gt;""),LEFT(A43,2)&amp;LEFT(B43,4)&amp;LEFT(C43,2)&amp;SUBSTITUTE(UPPER(D43),"Ú","U"),"")</f>
        <v/>
      </c>
      <c r="G43" s="7" t="str">
        <f>IFERROR(INDEX(Modelos!$B$2:$B$301,MATCH($B43,Modelos!$C$2:$C$301,0))&amp;"","")</f>
        <v/>
      </c>
      <c r="H43" s="7" t="str">
        <f>IFERROR(INDEX(Modelos!$D$2:$D$301,MATCH($B43,Modelos!$C$2:$C$301,0))&amp;"","")</f>
        <v/>
      </c>
      <c r="I43" s="7" t="str">
        <f>IFERROR(INDEX(Modelos!$E$2:$E$301,MATCH($B43,Modelos!$C$2:$C$301,0))&amp;"","")</f>
        <v/>
      </c>
      <c r="J43" s="7" t="str">
        <f>IFERROR(INDEX(Modelos!$F$2:$F$301,MATCH($B43,Modelos!$C$2:$C$301,0))&amp;"","")</f>
        <v/>
      </c>
      <c r="K43" s="7" t="str">
        <f>IFERROR(INDEX(Modelos!$G$2:$G$301,MATCH($B43,Modelos!$C$2:$C$301,0))&amp;"","")</f>
        <v/>
      </c>
      <c r="L43" s="7" t="str">
        <f>IFERROR(INDEX(Diccionarios!$G$2:$G$201,MATCH($C43,Diccionarios!$H$2:$H$201,0))&amp;"","")</f>
        <v/>
      </c>
      <c r="M43" s="7" t="str">
        <f>IF(D43="","",D43&amp;"")</f>
        <v/>
      </c>
      <c r="N43" s="8" t="str">
        <f>IF($B43="","",IFERROR(INDEX(Modelos!$H$2:$H$301,MATCH($B43,Modelos!$C$2:$C$301,0)),""))</f>
        <v/>
      </c>
      <c r="O43" s="8" t="str">
        <f>IF($B43="","",IFERROR(INDEX(Modelos!$I$2:$I$301,MATCH($B43,Modelos!$C$2:$C$301,0)),""))</f>
        <v/>
      </c>
      <c r="P43" s="8" t="str">
        <f>IF($B43="","",IFERROR(INDEX(Modelos!$J$2:$J$301,MATCH($B43,Modelos!$C$2:$C$301,0)),""))</f>
        <v/>
      </c>
      <c r="Q43" s="7" t="str">
        <f>IFERROR(INDEX(Diccionarios!$B$2:$B$201,MATCH($A43,Diccionarios!$D$2:$D$201,0))&amp;"","")</f>
        <v/>
      </c>
      <c r="R43" s="7" t="str">
        <f>IFERROR(INDEX(Diccionarios!$C$2:$C$201,MATCH($A43,Diccionarios!$D$2:$D$201,0))&amp;"","")</f>
        <v/>
      </c>
      <c r="S43" s="7" t="str">
        <f>IFERROR(INDEX(Modelos!$K$2:$K$301,MATCH($B43,Modelos!$C$2:$C$301,0))&amp;"","")</f>
        <v/>
      </c>
      <c r="T43" s="7" t="str">
        <f>IFERROR(INDEX(Modelos!$L$2:$L$301,MATCH($B43,Modelos!$C$2:$C$301,0))&amp;"","")</f>
        <v/>
      </c>
    </row>
    <row r="44" spans="1:20" x14ac:dyDescent="0.25">
      <c r="A44" s="5"/>
      <c r="B44" s="5"/>
      <c r="C44" s="5"/>
      <c r="D44" s="6"/>
      <c r="E44" s="5"/>
      <c r="F44" s="7" t="str">
        <f>IF(AND(A44&lt;&gt;"",B44&lt;&gt;"",C44&lt;&gt;"",D44&lt;&gt;""),LEFT(A44,2)&amp;LEFT(B44,4)&amp;LEFT(C44,2)&amp;SUBSTITUTE(UPPER(D44),"Ú","U"),"")</f>
        <v/>
      </c>
      <c r="G44" s="7" t="str">
        <f>IFERROR(INDEX(Modelos!$B$2:$B$301,MATCH($B44,Modelos!$C$2:$C$301,0))&amp;"","")</f>
        <v/>
      </c>
      <c r="H44" s="7" t="str">
        <f>IFERROR(INDEX(Modelos!$D$2:$D$301,MATCH($B44,Modelos!$C$2:$C$301,0))&amp;"","")</f>
        <v/>
      </c>
      <c r="I44" s="7" t="str">
        <f>IFERROR(INDEX(Modelos!$E$2:$E$301,MATCH($B44,Modelos!$C$2:$C$301,0))&amp;"","")</f>
        <v/>
      </c>
      <c r="J44" s="7" t="str">
        <f>IFERROR(INDEX(Modelos!$F$2:$F$301,MATCH($B44,Modelos!$C$2:$C$301,0))&amp;"","")</f>
        <v/>
      </c>
      <c r="K44" s="7" t="str">
        <f>IFERROR(INDEX(Modelos!$G$2:$G$301,MATCH($B44,Modelos!$C$2:$C$301,0))&amp;"","")</f>
        <v/>
      </c>
      <c r="L44" s="7" t="str">
        <f>IFERROR(INDEX(Diccionarios!$G$2:$G$201,MATCH($C44,Diccionarios!$H$2:$H$201,0))&amp;"","")</f>
        <v/>
      </c>
      <c r="M44" s="7" t="str">
        <f>IF(D44="","",D44&amp;"")</f>
        <v/>
      </c>
      <c r="N44" s="8" t="str">
        <f>IF($B44="","",IFERROR(INDEX(Modelos!$H$2:$H$301,MATCH($B44,Modelos!$C$2:$C$301,0)),""))</f>
        <v/>
      </c>
      <c r="O44" s="8" t="str">
        <f>IF($B44="","",IFERROR(INDEX(Modelos!$I$2:$I$301,MATCH($B44,Modelos!$C$2:$C$301,0)),""))</f>
        <v/>
      </c>
      <c r="P44" s="8" t="str">
        <f>IF($B44="","",IFERROR(INDEX(Modelos!$J$2:$J$301,MATCH($B44,Modelos!$C$2:$C$301,0)),""))</f>
        <v/>
      </c>
      <c r="Q44" s="7" t="str">
        <f>IFERROR(INDEX(Diccionarios!$B$2:$B$201,MATCH($A44,Diccionarios!$D$2:$D$201,0))&amp;"","")</f>
        <v/>
      </c>
      <c r="R44" s="7" t="str">
        <f>IFERROR(INDEX(Diccionarios!$C$2:$C$201,MATCH($A44,Diccionarios!$D$2:$D$201,0))&amp;"","")</f>
        <v/>
      </c>
      <c r="S44" s="7" t="str">
        <f>IFERROR(INDEX(Modelos!$K$2:$K$301,MATCH($B44,Modelos!$C$2:$C$301,0))&amp;"","")</f>
        <v/>
      </c>
      <c r="T44" s="7" t="str">
        <f>IFERROR(INDEX(Modelos!$L$2:$L$301,MATCH($B44,Modelos!$C$2:$C$301,0))&amp;"","")</f>
        <v/>
      </c>
    </row>
    <row r="45" spans="1:20" x14ac:dyDescent="0.25">
      <c r="A45" s="5"/>
      <c r="B45" s="5"/>
      <c r="C45" s="5"/>
      <c r="D45" s="6"/>
      <c r="E45" s="5"/>
      <c r="F45" s="7" t="str">
        <f>IF(AND(A45&lt;&gt;"",B45&lt;&gt;"",C45&lt;&gt;"",D45&lt;&gt;""),LEFT(A45,2)&amp;LEFT(B45,4)&amp;LEFT(C45,2)&amp;SUBSTITUTE(UPPER(D45),"Ú","U"),"")</f>
        <v/>
      </c>
      <c r="G45" s="7" t="str">
        <f>IFERROR(INDEX(Modelos!$B$2:$B$301,MATCH($B45,Modelos!$C$2:$C$301,0))&amp;"","")</f>
        <v/>
      </c>
      <c r="H45" s="7" t="str">
        <f>IFERROR(INDEX(Modelos!$D$2:$D$301,MATCH($B45,Modelos!$C$2:$C$301,0))&amp;"","")</f>
        <v/>
      </c>
      <c r="I45" s="7" t="str">
        <f>IFERROR(INDEX(Modelos!$E$2:$E$301,MATCH($B45,Modelos!$C$2:$C$301,0))&amp;"","")</f>
        <v/>
      </c>
      <c r="J45" s="7" t="str">
        <f>IFERROR(INDEX(Modelos!$F$2:$F$301,MATCH($B45,Modelos!$C$2:$C$301,0))&amp;"","")</f>
        <v/>
      </c>
      <c r="K45" s="7" t="str">
        <f>IFERROR(INDEX(Modelos!$G$2:$G$301,MATCH($B45,Modelos!$C$2:$C$301,0))&amp;"","")</f>
        <v/>
      </c>
      <c r="L45" s="7" t="str">
        <f>IFERROR(INDEX(Diccionarios!$G$2:$G$201,MATCH($C45,Diccionarios!$H$2:$H$201,0))&amp;"","")</f>
        <v/>
      </c>
      <c r="M45" s="7" t="str">
        <f>IF(D45="","",D45&amp;"")</f>
        <v/>
      </c>
      <c r="N45" s="8" t="str">
        <f>IF($B45="","",IFERROR(INDEX(Modelos!$H$2:$H$301,MATCH($B45,Modelos!$C$2:$C$301,0)),""))</f>
        <v/>
      </c>
      <c r="O45" s="8" t="str">
        <f>IF($B45="","",IFERROR(INDEX(Modelos!$I$2:$I$301,MATCH($B45,Modelos!$C$2:$C$301,0)),""))</f>
        <v/>
      </c>
      <c r="P45" s="8" t="str">
        <f>IF($B45="","",IFERROR(INDEX(Modelos!$J$2:$J$301,MATCH($B45,Modelos!$C$2:$C$301,0)),""))</f>
        <v/>
      </c>
      <c r="Q45" s="7" t="str">
        <f>IFERROR(INDEX(Diccionarios!$B$2:$B$201,MATCH($A45,Diccionarios!$D$2:$D$201,0))&amp;"","")</f>
        <v/>
      </c>
      <c r="R45" s="7" t="str">
        <f>IFERROR(INDEX(Diccionarios!$C$2:$C$201,MATCH($A45,Diccionarios!$D$2:$D$201,0))&amp;"","")</f>
        <v/>
      </c>
      <c r="S45" s="7" t="str">
        <f>IFERROR(INDEX(Modelos!$K$2:$K$301,MATCH($B45,Modelos!$C$2:$C$301,0))&amp;"","")</f>
        <v/>
      </c>
      <c r="T45" s="7" t="str">
        <f>IFERROR(INDEX(Modelos!$L$2:$L$301,MATCH($B45,Modelos!$C$2:$C$301,0))&amp;"","")</f>
        <v/>
      </c>
    </row>
    <row r="46" spans="1:20" x14ac:dyDescent="0.25">
      <c r="A46" s="5"/>
      <c r="B46" s="5"/>
      <c r="C46" s="5"/>
      <c r="D46" s="6"/>
      <c r="E46" s="5"/>
      <c r="F46" s="7" t="str">
        <f>IF(AND(A46&lt;&gt;"",B46&lt;&gt;"",C46&lt;&gt;"",D46&lt;&gt;""),LEFT(A46,2)&amp;LEFT(B46,4)&amp;LEFT(C46,2)&amp;SUBSTITUTE(UPPER(D46),"Ú","U"),"")</f>
        <v/>
      </c>
      <c r="G46" s="7" t="str">
        <f>IFERROR(INDEX(Modelos!$B$2:$B$301,MATCH($B46,Modelos!$C$2:$C$301,0))&amp;"","")</f>
        <v/>
      </c>
      <c r="H46" s="7" t="str">
        <f>IFERROR(INDEX(Modelos!$D$2:$D$301,MATCH($B46,Modelos!$C$2:$C$301,0))&amp;"","")</f>
        <v/>
      </c>
      <c r="I46" s="7" t="str">
        <f>IFERROR(INDEX(Modelos!$E$2:$E$301,MATCH($B46,Modelos!$C$2:$C$301,0))&amp;"","")</f>
        <v/>
      </c>
      <c r="J46" s="7" t="str">
        <f>IFERROR(INDEX(Modelos!$F$2:$F$301,MATCH($B46,Modelos!$C$2:$C$301,0))&amp;"","")</f>
        <v/>
      </c>
      <c r="K46" s="7" t="str">
        <f>IFERROR(INDEX(Modelos!$G$2:$G$301,MATCH($B46,Modelos!$C$2:$C$301,0))&amp;"","")</f>
        <v/>
      </c>
      <c r="L46" s="7" t="str">
        <f>IFERROR(INDEX(Diccionarios!$G$2:$G$201,MATCH($C46,Diccionarios!$H$2:$H$201,0))&amp;"","")</f>
        <v/>
      </c>
      <c r="M46" s="7" t="str">
        <f>IF(D46="","",D46&amp;"")</f>
        <v/>
      </c>
      <c r="N46" s="8" t="str">
        <f>IF($B46="","",IFERROR(INDEX(Modelos!$H$2:$H$301,MATCH($B46,Modelos!$C$2:$C$301,0)),""))</f>
        <v/>
      </c>
      <c r="O46" s="8" t="str">
        <f>IF($B46="","",IFERROR(INDEX(Modelos!$I$2:$I$301,MATCH($B46,Modelos!$C$2:$C$301,0)),""))</f>
        <v/>
      </c>
      <c r="P46" s="8" t="str">
        <f>IF($B46="","",IFERROR(INDEX(Modelos!$J$2:$J$301,MATCH($B46,Modelos!$C$2:$C$301,0)),""))</f>
        <v/>
      </c>
      <c r="Q46" s="7" t="str">
        <f>IFERROR(INDEX(Diccionarios!$B$2:$B$201,MATCH($A46,Diccionarios!$D$2:$D$201,0))&amp;"","")</f>
        <v/>
      </c>
      <c r="R46" s="7" t="str">
        <f>IFERROR(INDEX(Diccionarios!$C$2:$C$201,MATCH($A46,Diccionarios!$D$2:$D$201,0))&amp;"","")</f>
        <v/>
      </c>
      <c r="S46" s="7" t="str">
        <f>IFERROR(INDEX(Modelos!$K$2:$K$301,MATCH($B46,Modelos!$C$2:$C$301,0))&amp;"","")</f>
        <v/>
      </c>
      <c r="T46" s="7" t="str">
        <f>IFERROR(INDEX(Modelos!$L$2:$L$301,MATCH($B46,Modelos!$C$2:$C$301,0))&amp;"","")</f>
        <v/>
      </c>
    </row>
    <row r="47" spans="1:20" x14ac:dyDescent="0.25">
      <c r="A47" s="5"/>
      <c r="B47" s="5"/>
      <c r="C47" s="5"/>
      <c r="D47" s="6"/>
      <c r="E47" s="5"/>
      <c r="F47" s="7" t="str">
        <f>IF(AND(A47&lt;&gt;"",B47&lt;&gt;"",C47&lt;&gt;"",D47&lt;&gt;""),LEFT(A47,2)&amp;LEFT(B47,4)&amp;LEFT(C47,2)&amp;SUBSTITUTE(UPPER(D47),"Ú","U"),"")</f>
        <v/>
      </c>
      <c r="G47" s="7" t="str">
        <f>IFERROR(INDEX(Modelos!$B$2:$B$301,MATCH($B47,Modelos!$C$2:$C$301,0))&amp;"","")</f>
        <v/>
      </c>
      <c r="H47" s="7" t="str">
        <f>IFERROR(INDEX(Modelos!$D$2:$D$301,MATCH($B47,Modelos!$C$2:$C$301,0))&amp;"","")</f>
        <v/>
      </c>
      <c r="I47" s="7" t="str">
        <f>IFERROR(INDEX(Modelos!$E$2:$E$301,MATCH($B47,Modelos!$C$2:$C$301,0))&amp;"","")</f>
        <v/>
      </c>
      <c r="J47" s="7" t="str">
        <f>IFERROR(INDEX(Modelos!$F$2:$F$301,MATCH($B47,Modelos!$C$2:$C$301,0))&amp;"","")</f>
        <v/>
      </c>
      <c r="K47" s="7" t="str">
        <f>IFERROR(INDEX(Modelos!$G$2:$G$301,MATCH($B47,Modelos!$C$2:$C$301,0))&amp;"","")</f>
        <v/>
      </c>
      <c r="L47" s="7" t="str">
        <f>IFERROR(INDEX(Diccionarios!$G$2:$G$201,MATCH($C47,Diccionarios!$H$2:$H$201,0))&amp;"","")</f>
        <v/>
      </c>
      <c r="M47" s="7" t="str">
        <f>IF(D47="","",D47&amp;"")</f>
        <v/>
      </c>
      <c r="N47" s="8" t="str">
        <f>IF($B47="","",IFERROR(INDEX(Modelos!$H$2:$H$301,MATCH($B47,Modelos!$C$2:$C$301,0)),""))</f>
        <v/>
      </c>
      <c r="O47" s="8" t="str">
        <f>IF($B47="","",IFERROR(INDEX(Modelos!$I$2:$I$301,MATCH($B47,Modelos!$C$2:$C$301,0)),""))</f>
        <v/>
      </c>
      <c r="P47" s="8" t="str">
        <f>IF($B47="","",IFERROR(INDEX(Modelos!$J$2:$J$301,MATCH($B47,Modelos!$C$2:$C$301,0)),""))</f>
        <v/>
      </c>
      <c r="Q47" s="7" t="str">
        <f>IFERROR(INDEX(Diccionarios!$B$2:$B$201,MATCH($A47,Diccionarios!$D$2:$D$201,0))&amp;"","")</f>
        <v/>
      </c>
      <c r="R47" s="7" t="str">
        <f>IFERROR(INDEX(Diccionarios!$C$2:$C$201,MATCH($A47,Diccionarios!$D$2:$D$201,0))&amp;"","")</f>
        <v/>
      </c>
      <c r="S47" s="7" t="str">
        <f>IFERROR(INDEX(Modelos!$K$2:$K$301,MATCH($B47,Modelos!$C$2:$C$301,0))&amp;"","")</f>
        <v/>
      </c>
      <c r="T47" s="7" t="str">
        <f>IFERROR(INDEX(Modelos!$L$2:$L$301,MATCH($B47,Modelos!$C$2:$C$301,0))&amp;"","")</f>
        <v/>
      </c>
    </row>
    <row r="48" spans="1:20" x14ac:dyDescent="0.25">
      <c r="A48" s="5"/>
      <c r="B48" s="5"/>
      <c r="C48" s="5"/>
      <c r="D48" s="6"/>
      <c r="E48" s="5"/>
      <c r="F48" s="7" t="str">
        <f>IF(AND(A48&lt;&gt;"",B48&lt;&gt;"",C48&lt;&gt;"",D48&lt;&gt;""),LEFT(A48,2)&amp;LEFT(B48,4)&amp;LEFT(C48,2)&amp;SUBSTITUTE(UPPER(D48),"Ú","U"),"")</f>
        <v/>
      </c>
      <c r="G48" s="7" t="str">
        <f>IFERROR(INDEX(Modelos!$B$2:$B$301,MATCH($B48,Modelos!$C$2:$C$301,0))&amp;"","")</f>
        <v/>
      </c>
      <c r="H48" s="7" t="str">
        <f>IFERROR(INDEX(Modelos!$D$2:$D$301,MATCH($B48,Modelos!$C$2:$C$301,0))&amp;"","")</f>
        <v/>
      </c>
      <c r="I48" s="7" t="str">
        <f>IFERROR(INDEX(Modelos!$E$2:$E$301,MATCH($B48,Modelos!$C$2:$C$301,0))&amp;"","")</f>
        <v/>
      </c>
      <c r="J48" s="7" t="str">
        <f>IFERROR(INDEX(Modelos!$F$2:$F$301,MATCH($B48,Modelos!$C$2:$C$301,0))&amp;"","")</f>
        <v/>
      </c>
      <c r="K48" s="7" t="str">
        <f>IFERROR(INDEX(Modelos!$G$2:$G$301,MATCH($B48,Modelos!$C$2:$C$301,0))&amp;"","")</f>
        <v/>
      </c>
      <c r="L48" s="7" t="str">
        <f>IFERROR(INDEX(Diccionarios!$G$2:$G$201,MATCH($C48,Diccionarios!$H$2:$H$201,0))&amp;"","")</f>
        <v/>
      </c>
      <c r="M48" s="7" t="str">
        <f>IF(D48="","",D48&amp;"")</f>
        <v/>
      </c>
      <c r="N48" s="8" t="str">
        <f>IF($B48="","",IFERROR(INDEX(Modelos!$H$2:$H$301,MATCH($B48,Modelos!$C$2:$C$301,0)),""))</f>
        <v/>
      </c>
      <c r="O48" s="8" t="str">
        <f>IF($B48="","",IFERROR(INDEX(Modelos!$I$2:$I$301,MATCH($B48,Modelos!$C$2:$C$301,0)),""))</f>
        <v/>
      </c>
      <c r="P48" s="8" t="str">
        <f>IF($B48="","",IFERROR(INDEX(Modelos!$J$2:$J$301,MATCH($B48,Modelos!$C$2:$C$301,0)),""))</f>
        <v/>
      </c>
      <c r="Q48" s="7" t="str">
        <f>IFERROR(INDEX(Diccionarios!$B$2:$B$201,MATCH($A48,Diccionarios!$D$2:$D$201,0))&amp;"","")</f>
        <v/>
      </c>
      <c r="R48" s="7" t="str">
        <f>IFERROR(INDEX(Diccionarios!$C$2:$C$201,MATCH($A48,Diccionarios!$D$2:$D$201,0))&amp;"","")</f>
        <v/>
      </c>
      <c r="S48" s="7" t="str">
        <f>IFERROR(INDEX(Modelos!$K$2:$K$301,MATCH($B48,Modelos!$C$2:$C$301,0))&amp;"","")</f>
        <v/>
      </c>
      <c r="T48" s="7" t="str">
        <f>IFERROR(INDEX(Modelos!$L$2:$L$301,MATCH($B48,Modelos!$C$2:$C$301,0))&amp;"","")</f>
        <v/>
      </c>
    </row>
    <row r="49" spans="1:20" x14ac:dyDescent="0.25">
      <c r="A49" s="5"/>
      <c r="B49" s="5"/>
      <c r="C49" s="5"/>
      <c r="D49" s="6"/>
      <c r="E49" s="5"/>
      <c r="F49" s="7" t="str">
        <f>IF(AND(A49&lt;&gt;"",B49&lt;&gt;"",C49&lt;&gt;"",D49&lt;&gt;""),LEFT(A49,2)&amp;LEFT(B49,4)&amp;LEFT(C49,2)&amp;SUBSTITUTE(UPPER(D49),"Ú","U"),"")</f>
        <v/>
      </c>
      <c r="G49" s="7" t="str">
        <f>IFERROR(INDEX(Modelos!$B$2:$B$301,MATCH($B49,Modelos!$C$2:$C$301,0))&amp;"","")</f>
        <v/>
      </c>
      <c r="H49" s="7" t="str">
        <f>IFERROR(INDEX(Modelos!$D$2:$D$301,MATCH($B49,Modelos!$C$2:$C$301,0))&amp;"","")</f>
        <v/>
      </c>
      <c r="I49" s="7" t="str">
        <f>IFERROR(INDEX(Modelos!$E$2:$E$301,MATCH($B49,Modelos!$C$2:$C$301,0))&amp;"","")</f>
        <v/>
      </c>
      <c r="J49" s="7" t="str">
        <f>IFERROR(INDEX(Modelos!$F$2:$F$301,MATCH($B49,Modelos!$C$2:$C$301,0))&amp;"","")</f>
        <v/>
      </c>
      <c r="K49" s="7" t="str">
        <f>IFERROR(INDEX(Modelos!$G$2:$G$301,MATCH($B49,Modelos!$C$2:$C$301,0))&amp;"","")</f>
        <v/>
      </c>
      <c r="L49" s="7" t="str">
        <f>IFERROR(INDEX(Diccionarios!$G$2:$G$201,MATCH($C49,Diccionarios!$H$2:$H$201,0))&amp;"","")</f>
        <v/>
      </c>
      <c r="M49" s="7" t="str">
        <f>IF(D49="","",D49&amp;"")</f>
        <v/>
      </c>
      <c r="N49" s="8" t="str">
        <f>IF($B49="","",IFERROR(INDEX(Modelos!$H$2:$H$301,MATCH($B49,Modelos!$C$2:$C$301,0)),""))</f>
        <v/>
      </c>
      <c r="O49" s="8" t="str">
        <f>IF($B49="","",IFERROR(INDEX(Modelos!$I$2:$I$301,MATCH($B49,Modelos!$C$2:$C$301,0)),""))</f>
        <v/>
      </c>
      <c r="P49" s="8" t="str">
        <f>IF($B49="","",IFERROR(INDEX(Modelos!$J$2:$J$301,MATCH($B49,Modelos!$C$2:$C$301,0)),""))</f>
        <v/>
      </c>
      <c r="Q49" s="7" t="str">
        <f>IFERROR(INDEX(Diccionarios!$B$2:$B$201,MATCH($A49,Diccionarios!$D$2:$D$201,0))&amp;"","")</f>
        <v/>
      </c>
      <c r="R49" s="7" t="str">
        <f>IFERROR(INDEX(Diccionarios!$C$2:$C$201,MATCH($A49,Diccionarios!$D$2:$D$201,0))&amp;"","")</f>
        <v/>
      </c>
      <c r="S49" s="7" t="str">
        <f>IFERROR(INDEX(Modelos!$K$2:$K$301,MATCH($B49,Modelos!$C$2:$C$301,0))&amp;"","")</f>
        <v/>
      </c>
      <c r="T49" s="7" t="str">
        <f>IFERROR(INDEX(Modelos!$L$2:$L$301,MATCH($B49,Modelos!$C$2:$C$301,0))&amp;"","")</f>
        <v/>
      </c>
    </row>
    <row r="50" spans="1:20" x14ac:dyDescent="0.25">
      <c r="A50" s="5"/>
      <c r="B50" s="5"/>
      <c r="C50" s="5"/>
      <c r="D50" s="6"/>
      <c r="E50" s="5"/>
      <c r="F50" s="7" t="str">
        <f>IF(AND(A50&lt;&gt;"",B50&lt;&gt;"",C50&lt;&gt;"",D50&lt;&gt;""),LEFT(A50,2)&amp;LEFT(B50,4)&amp;LEFT(C50,2)&amp;SUBSTITUTE(UPPER(D50),"Ú","U"),"")</f>
        <v/>
      </c>
      <c r="G50" s="7" t="str">
        <f>IFERROR(INDEX(Modelos!$B$2:$B$301,MATCH($B50,Modelos!$C$2:$C$301,0))&amp;"","")</f>
        <v/>
      </c>
      <c r="H50" s="7" t="str">
        <f>IFERROR(INDEX(Modelos!$D$2:$D$301,MATCH($B50,Modelos!$C$2:$C$301,0))&amp;"","")</f>
        <v/>
      </c>
      <c r="I50" s="7" t="str">
        <f>IFERROR(INDEX(Modelos!$E$2:$E$301,MATCH($B50,Modelos!$C$2:$C$301,0))&amp;"","")</f>
        <v/>
      </c>
      <c r="J50" s="7" t="str">
        <f>IFERROR(INDEX(Modelos!$F$2:$F$301,MATCH($B50,Modelos!$C$2:$C$301,0))&amp;"","")</f>
        <v/>
      </c>
      <c r="K50" s="7" t="str">
        <f>IFERROR(INDEX(Modelos!$G$2:$G$301,MATCH($B50,Modelos!$C$2:$C$301,0))&amp;"","")</f>
        <v/>
      </c>
      <c r="L50" s="7" t="str">
        <f>IFERROR(INDEX(Diccionarios!$G$2:$G$201,MATCH($C50,Diccionarios!$H$2:$H$201,0))&amp;"","")</f>
        <v/>
      </c>
      <c r="M50" s="7" t="str">
        <f>IF(D50="","",D50&amp;"")</f>
        <v/>
      </c>
      <c r="N50" s="8" t="str">
        <f>IF($B50="","",IFERROR(INDEX(Modelos!$H$2:$H$301,MATCH($B50,Modelos!$C$2:$C$301,0)),""))</f>
        <v/>
      </c>
      <c r="O50" s="8" t="str">
        <f>IF($B50="","",IFERROR(INDEX(Modelos!$I$2:$I$301,MATCH($B50,Modelos!$C$2:$C$301,0)),""))</f>
        <v/>
      </c>
      <c r="P50" s="8" t="str">
        <f>IF($B50="","",IFERROR(INDEX(Modelos!$J$2:$J$301,MATCH($B50,Modelos!$C$2:$C$301,0)),""))</f>
        <v/>
      </c>
      <c r="Q50" s="7" t="str">
        <f>IFERROR(INDEX(Diccionarios!$B$2:$B$201,MATCH($A50,Diccionarios!$D$2:$D$201,0))&amp;"","")</f>
        <v/>
      </c>
      <c r="R50" s="7" t="str">
        <f>IFERROR(INDEX(Diccionarios!$C$2:$C$201,MATCH($A50,Diccionarios!$D$2:$D$201,0))&amp;"","")</f>
        <v/>
      </c>
      <c r="S50" s="7" t="str">
        <f>IFERROR(INDEX(Modelos!$K$2:$K$301,MATCH($B50,Modelos!$C$2:$C$301,0))&amp;"","")</f>
        <v/>
      </c>
      <c r="T50" s="7" t="str">
        <f>IFERROR(INDEX(Modelos!$L$2:$L$301,MATCH($B50,Modelos!$C$2:$C$301,0))&amp;"","")</f>
        <v/>
      </c>
    </row>
    <row r="51" spans="1:20" x14ac:dyDescent="0.25">
      <c r="A51" s="5"/>
      <c r="B51" s="5"/>
      <c r="C51" s="5"/>
      <c r="D51" s="6"/>
      <c r="E51" s="5"/>
      <c r="F51" s="7" t="str">
        <f>IF(AND(A51&lt;&gt;"",B51&lt;&gt;"",C51&lt;&gt;"",D51&lt;&gt;""),LEFT(A51,2)&amp;LEFT(B51,4)&amp;LEFT(C51,2)&amp;SUBSTITUTE(UPPER(D51),"Ú","U"),"")</f>
        <v/>
      </c>
      <c r="G51" s="7" t="str">
        <f>IFERROR(INDEX(Modelos!$B$2:$B$301,MATCH($B51,Modelos!$C$2:$C$301,0))&amp;"","")</f>
        <v/>
      </c>
      <c r="H51" s="7" t="str">
        <f>IFERROR(INDEX(Modelos!$D$2:$D$301,MATCH($B51,Modelos!$C$2:$C$301,0))&amp;"","")</f>
        <v/>
      </c>
      <c r="I51" s="7" t="str">
        <f>IFERROR(INDEX(Modelos!$E$2:$E$301,MATCH($B51,Modelos!$C$2:$C$301,0))&amp;"","")</f>
        <v/>
      </c>
      <c r="J51" s="7" t="str">
        <f>IFERROR(INDEX(Modelos!$F$2:$F$301,MATCH($B51,Modelos!$C$2:$C$301,0))&amp;"","")</f>
        <v/>
      </c>
      <c r="K51" s="7" t="str">
        <f>IFERROR(INDEX(Modelos!$G$2:$G$301,MATCH($B51,Modelos!$C$2:$C$301,0))&amp;"","")</f>
        <v/>
      </c>
      <c r="L51" s="7" t="str">
        <f>IFERROR(INDEX(Diccionarios!$G$2:$G$201,MATCH($C51,Diccionarios!$H$2:$H$201,0))&amp;"","")</f>
        <v/>
      </c>
      <c r="M51" s="7" t="str">
        <f>IF(D51="","",D51&amp;"")</f>
        <v/>
      </c>
      <c r="N51" s="8" t="str">
        <f>IF($B51="","",IFERROR(INDEX(Modelos!$H$2:$H$301,MATCH($B51,Modelos!$C$2:$C$301,0)),""))</f>
        <v/>
      </c>
      <c r="O51" s="8" t="str">
        <f>IF($B51="","",IFERROR(INDEX(Modelos!$I$2:$I$301,MATCH($B51,Modelos!$C$2:$C$301,0)),""))</f>
        <v/>
      </c>
      <c r="P51" s="8" t="str">
        <f>IF($B51="","",IFERROR(INDEX(Modelos!$J$2:$J$301,MATCH($B51,Modelos!$C$2:$C$301,0)),""))</f>
        <v/>
      </c>
      <c r="Q51" s="7" t="str">
        <f>IFERROR(INDEX(Diccionarios!$B$2:$B$201,MATCH($A51,Diccionarios!$D$2:$D$201,0))&amp;"","")</f>
        <v/>
      </c>
      <c r="R51" s="7" t="str">
        <f>IFERROR(INDEX(Diccionarios!$C$2:$C$201,MATCH($A51,Diccionarios!$D$2:$D$201,0))&amp;"","")</f>
        <v/>
      </c>
      <c r="S51" s="7" t="str">
        <f>IFERROR(INDEX(Modelos!$K$2:$K$301,MATCH($B51,Modelos!$C$2:$C$301,0))&amp;"","")</f>
        <v/>
      </c>
      <c r="T51" s="7" t="str">
        <f>IFERROR(INDEX(Modelos!$L$2:$L$301,MATCH($B51,Modelos!$C$2:$C$301,0))&amp;"","")</f>
        <v/>
      </c>
    </row>
    <row r="52" spans="1:20" x14ac:dyDescent="0.25">
      <c r="A52" s="5"/>
      <c r="B52" s="5"/>
      <c r="C52" s="5"/>
      <c r="D52" s="6"/>
      <c r="E52" s="5"/>
      <c r="F52" s="7" t="str">
        <f>IF(AND(A52&lt;&gt;"",B52&lt;&gt;"",C52&lt;&gt;"",D52&lt;&gt;""),LEFT(A52,2)&amp;LEFT(B52,4)&amp;LEFT(C52,2)&amp;SUBSTITUTE(UPPER(D52),"Ú","U"),"")</f>
        <v/>
      </c>
      <c r="G52" s="7" t="str">
        <f>IFERROR(INDEX(Modelos!$B$2:$B$301,MATCH($B52,Modelos!$C$2:$C$301,0))&amp;"","")</f>
        <v/>
      </c>
      <c r="H52" s="7" t="str">
        <f>IFERROR(INDEX(Modelos!$D$2:$D$301,MATCH($B52,Modelos!$C$2:$C$301,0))&amp;"","")</f>
        <v/>
      </c>
      <c r="I52" s="7" t="str">
        <f>IFERROR(INDEX(Modelos!$E$2:$E$301,MATCH($B52,Modelos!$C$2:$C$301,0))&amp;"","")</f>
        <v/>
      </c>
      <c r="J52" s="7" t="str">
        <f>IFERROR(INDEX(Modelos!$F$2:$F$301,MATCH($B52,Modelos!$C$2:$C$301,0))&amp;"","")</f>
        <v/>
      </c>
      <c r="K52" s="7" t="str">
        <f>IFERROR(INDEX(Modelos!$G$2:$G$301,MATCH($B52,Modelos!$C$2:$C$301,0))&amp;"","")</f>
        <v/>
      </c>
      <c r="L52" s="7" t="str">
        <f>IFERROR(INDEX(Diccionarios!$G$2:$G$201,MATCH($C52,Diccionarios!$H$2:$H$201,0))&amp;"","")</f>
        <v/>
      </c>
      <c r="M52" s="7" t="str">
        <f>IF(D52="","",D52&amp;"")</f>
        <v/>
      </c>
      <c r="N52" s="8" t="str">
        <f>IF($B52="","",IFERROR(INDEX(Modelos!$H$2:$H$301,MATCH($B52,Modelos!$C$2:$C$301,0)),""))</f>
        <v/>
      </c>
      <c r="O52" s="8" t="str">
        <f>IF($B52="","",IFERROR(INDEX(Modelos!$I$2:$I$301,MATCH($B52,Modelos!$C$2:$C$301,0)),""))</f>
        <v/>
      </c>
      <c r="P52" s="8" t="str">
        <f>IF($B52="","",IFERROR(INDEX(Modelos!$J$2:$J$301,MATCH($B52,Modelos!$C$2:$C$301,0)),""))</f>
        <v/>
      </c>
      <c r="Q52" s="7" t="str">
        <f>IFERROR(INDEX(Diccionarios!$B$2:$B$201,MATCH($A52,Diccionarios!$D$2:$D$201,0))&amp;"","")</f>
        <v/>
      </c>
      <c r="R52" s="7" t="str">
        <f>IFERROR(INDEX(Diccionarios!$C$2:$C$201,MATCH($A52,Diccionarios!$D$2:$D$201,0))&amp;"","")</f>
        <v/>
      </c>
      <c r="S52" s="7" t="str">
        <f>IFERROR(INDEX(Modelos!$K$2:$K$301,MATCH($B52,Modelos!$C$2:$C$301,0))&amp;"","")</f>
        <v/>
      </c>
      <c r="T52" s="7" t="str">
        <f>IFERROR(INDEX(Modelos!$L$2:$L$301,MATCH($B52,Modelos!$C$2:$C$301,0))&amp;"","")</f>
        <v/>
      </c>
    </row>
    <row r="53" spans="1:20" x14ac:dyDescent="0.25">
      <c r="A53" s="5"/>
      <c r="B53" s="5"/>
      <c r="C53" s="5"/>
      <c r="D53" s="6"/>
      <c r="E53" s="5"/>
      <c r="F53" s="7" t="str">
        <f>IF(AND(A53&lt;&gt;"",B53&lt;&gt;"",C53&lt;&gt;"",D53&lt;&gt;""),LEFT(A53,2)&amp;LEFT(B53,4)&amp;LEFT(C53,2)&amp;SUBSTITUTE(UPPER(D53),"Ú","U"),"")</f>
        <v/>
      </c>
      <c r="G53" s="7" t="str">
        <f>IFERROR(INDEX(Modelos!$B$2:$B$301,MATCH($B53,Modelos!$C$2:$C$301,0))&amp;"","")</f>
        <v/>
      </c>
      <c r="H53" s="7" t="str">
        <f>IFERROR(INDEX(Modelos!$D$2:$D$301,MATCH($B53,Modelos!$C$2:$C$301,0))&amp;"","")</f>
        <v/>
      </c>
      <c r="I53" s="7" t="str">
        <f>IFERROR(INDEX(Modelos!$E$2:$E$301,MATCH($B53,Modelos!$C$2:$C$301,0))&amp;"","")</f>
        <v/>
      </c>
      <c r="J53" s="7" t="str">
        <f>IFERROR(INDEX(Modelos!$F$2:$F$301,MATCH($B53,Modelos!$C$2:$C$301,0))&amp;"","")</f>
        <v/>
      </c>
      <c r="K53" s="7" t="str">
        <f>IFERROR(INDEX(Modelos!$G$2:$G$301,MATCH($B53,Modelos!$C$2:$C$301,0))&amp;"","")</f>
        <v/>
      </c>
      <c r="L53" s="7" t="str">
        <f>IFERROR(INDEX(Diccionarios!$G$2:$G$201,MATCH($C53,Diccionarios!$H$2:$H$201,0))&amp;"","")</f>
        <v/>
      </c>
      <c r="M53" s="7" t="str">
        <f>IF(D53="","",D53&amp;"")</f>
        <v/>
      </c>
      <c r="N53" s="8" t="str">
        <f>IF($B53="","",IFERROR(INDEX(Modelos!$H$2:$H$301,MATCH($B53,Modelos!$C$2:$C$301,0)),""))</f>
        <v/>
      </c>
      <c r="O53" s="8" t="str">
        <f>IF($B53="","",IFERROR(INDEX(Modelos!$I$2:$I$301,MATCH($B53,Modelos!$C$2:$C$301,0)),""))</f>
        <v/>
      </c>
      <c r="P53" s="8" t="str">
        <f>IF($B53="","",IFERROR(INDEX(Modelos!$J$2:$J$301,MATCH($B53,Modelos!$C$2:$C$301,0)),""))</f>
        <v/>
      </c>
      <c r="Q53" s="7" t="str">
        <f>IFERROR(INDEX(Diccionarios!$B$2:$B$201,MATCH($A53,Diccionarios!$D$2:$D$201,0))&amp;"","")</f>
        <v/>
      </c>
      <c r="R53" s="7" t="str">
        <f>IFERROR(INDEX(Diccionarios!$C$2:$C$201,MATCH($A53,Diccionarios!$D$2:$D$201,0))&amp;"","")</f>
        <v/>
      </c>
      <c r="S53" s="7" t="str">
        <f>IFERROR(INDEX(Modelos!$K$2:$K$301,MATCH($B53,Modelos!$C$2:$C$301,0))&amp;"","")</f>
        <v/>
      </c>
      <c r="T53" s="7" t="str">
        <f>IFERROR(INDEX(Modelos!$L$2:$L$301,MATCH($B53,Modelos!$C$2:$C$301,0))&amp;"","")</f>
        <v/>
      </c>
    </row>
    <row r="54" spans="1:20" x14ac:dyDescent="0.25">
      <c r="A54" s="5"/>
      <c r="B54" s="5"/>
      <c r="C54" s="5"/>
      <c r="D54" s="6"/>
      <c r="E54" s="5"/>
      <c r="F54" s="7" t="str">
        <f>IF(AND(A54&lt;&gt;"",B54&lt;&gt;"",C54&lt;&gt;"",D54&lt;&gt;""),LEFT(A54,2)&amp;LEFT(B54,4)&amp;LEFT(C54,2)&amp;SUBSTITUTE(UPPER(D54),"Ú","U"),"")</f>
        <v/>
      </c>
      <c r="G54" s="7" t="str">
        <f>IFERROR(INDEX(Modelos!$B$2:$B$301,MATCH($B54,Modelos!$C$2:$C$301,0))&amp;"","")</f>
        <v/>
      </c>
      <c r="H54" s="7" t="str">
        <f>IFERROR(INDEX(Modelos!$D$2:$D$301,MATCH($B54,Modelos!$C$2:$C$301,0))&amp;"","")</f>
        <v/>
      </c>
      <c r="I54" s="7" t="str">
        <f>IFERROR(INDEX(Modelos!$E$2:$E$301,MATCH($B54,Modelos!$C$2:$C$301,0))&amp;"","")</f>
        <v/>
      </c>
      <c r="J54" s="7" t="str">
        <f>IFERROR(INDEX(Modelos!$F$2:$F$301,MATCH($B54,Modelos!$C$2:$C$301,0))&amp;"","")</f>
        <v/>
      </c>
      <c r="K54" s="7" t="str">
        <f>IFERROR(INDEX(Modelos!$G$2:$G$301,MATCH($B54,Modelos!$C$2:$C$301,0))&amp;"","")</f>
        <v/>
      </c>
      <c r="L54" s="7" t="str">
        <f>IFERROR(INDEX(Diccionarios!$G$2:$G$201,MATCH($C54,Diccionarios!$H$2:$H$201,0))&amp;"","")</f>
        <v/>
      </c>
      <c r="M54" s="7" t="str">
        <f>IF(D54="","",D54&amp;"")</f>
        <v/>
      </c>
      <c r="N54" s="8" t="str">
        <f>IF($B54="","",IFERROR(INDEX(Modelos!$H$2:$H$301,MATCH($B54,Modelos!$C$2:$C$301,0)),""))</f>
        <v/>
      </c>
      <c r="O54" s="8" t="str">
        <f>IF($B54="","",IFERROR(INDEX(Modelos!$I$2:$I$301,MATCH($B54,Modelos!$C$2:$C$301,0)),""))</f>
        <v/>
      </c>
      <c r="P54" s="8" t="str">
        <f>IF($B54="","",IFERROR(INDEX(Modelos!$J$2:$J$301,MATCH($B54,Modelos!$C$2:$C$301,0)),""))</f>
        <v/>
      </c>
      <c r="Q54" s="7" t="str">
        <f>IFERROR(INDEX(Diccionarios!$B$2:$B$201,MATCH($A54,Diccionarios!$D$2:$D$201,0))&amp;"","")</f>
        <v/>
      </c>
      <c r="R54" s="7" t="str">
        <f>IFERROR(INDEX(Diccionarios!$C$2:$C$201,MATCH($A54,Diccionarios!$D$2:$D$201,0))&amp;"","")</f>
        <v/>
      </c>
      <c r="S54" s="7" t="str">
        <f>IFERROR(INDEX(Modelos!$K$2:$K$301,MATCH($B54,Modelos!$C$2:$C$301,0))&amp;"","")</f>
        <v/>
      </c>
      <c r="T54" s="7" t="str">
        <f>IFERROR(INDEX(Modelos!$L$2:$L$301,MATCH($B54,Modelos!$C$2:$C$301,0))&amp;"","")</f>
        <v/>
      </c>
    </row>
    <row r="55" spans="1:20" x14ac:dyDescent="0.25">
      <c r="A55" s="5"/>
      <c r="B55" s="5"/>
      <c r="C55" s="5"/>
      <c r="D55" s="6"/>
      <c r="E55" s="5"/>
      <c r="F55" s="7" t="str">
        <f>IF(AND(A55&lt;&gt;"",B55&lt;&gt;"",C55&lt;&gt;"",D55&lt;&gt;""),LEFT(A55,2)&amp;LEFT(B55,4)&amp;LEFT(C55,2)&amp;SUBSTITUTE(UPPER(D55),"Ú","U"),"")</f>
        <v/>
      </c>
      <c r="G55" s="7" t="str">
        <f>IFERROR(INDEX(Modelos!$B$2:$B$301,MATCH($B55,Modelos!$C$2:$C$301,0))&amp;"","")</f>
        <v/>
      </c>
      <c r="H55" s="7" t="str">
        <f>IFERROR(INDEX(Modelos!$D$2:$D$301,MATCH($B55,Modelos!$C$2:$C$301,0))&amp;"","")</f>
        <v/>
      </c>
      <c r="I55" s="7" t="str">
        <f>IFERROR(INDEX(Modelos!$E$2:$E$301,MATCH($B55,Modelos!$C$2:$C$301,0))&amp;"","")</f>
        <v/>
      </c>
      <c r="J55" s="7" t="str">
        <f>IFERROR(INDEX(Modelos!$F$2:$F$301,MATCH($B55,Modelos!$C$2:$C$301,0))&amp;"","")</f>
        <v/>
      </c>
      <c r="K55" s="7" t="str">
        <f>IFERROR(INDEX(Modelos!$G$2:$G$301,MATCH($B55,Modelos!$C$2:$C$301,0))&amp;"","")</f>
        <v/>
      </c>
      <c r="L55" s="7" t="str">
        <f>IFERROR(INDEX(Diccionarios!$G$2:$G$201,MATCH($C55,Diccionarios!$H$2:$H$201,0))&amp;"","")</f>
        <v/>
      </c>
      <c r="M55" s="7" t="str">
        <f>IF(D55="","",D55&amp;"")</f>
        <v/>
      </c>
      <c r="N55" s="8" t="str">
        <f>IF($B55="","",IFERROR(INDEX(Modelos!$H$2:$H$301,MATCH($B55,Modelos!$C$2:$C$301,0)),""))</f>
        <v/>
      </c>
      <c r="O55" s="8" t="str">
        <f>IF($B55="","",IFERROR(INDEX(Modelos!$I$2:$I$301,MATCH($B55,Modelos!$C$2:$C$301,0)),""))</f>
        <v/>
      </c>
      <c r="P55" s="8" t="str">
        <f>IF($B55="","",IFERROR(INDEX(Modelos!$J$2:$J$301,MATCH($B55,Modelos!$C$2:$C$301,0)),""))</f>
        <v/>
      </c>
      <c r="Q55" s="7" t="str">
        <f>IFERROR(INDEX(Diccionarios!$B$2:$B$201,MATCH($A55,Diccionarios!$D$2:$D$201,0))&amp;"","")</f>
        <v/>
      </c>
      <c r="R55" s="7" t="str">
        <f>IFERROR(INDEX(Diccionarios!$C$2:$C$201,MATCH($A55,Diccionarios!$D$2:$D$201,0))&amp;"","")</f>
        <v/>
      </c>
      <c r="S55" s="7" t="str">
        <f>IFERROR(INDEX(Modelos!$K$2:$K$301,MATCH($B55,Modelos!$C$2:$C$301,0))&amp;"","")</f>
        <v/>
      </c>
      <c r="T55" s="7" t="str">
        <f>IFERROR(INDEX(Modelos!$L$2:$L$301,MATCH($B55,Modelos!$C$2:$C$301,0))&amp;"","")</f>
        <v/>
      </c>
    </row>
    <row r="56" spans="1:20" x14ac:dyDescent="0.25">
      <c r="A56" s="5"/>
      <c r="B56" s="5"/>
      <c r="C56" s="5"/>
      <c r="D56" s="6"/>
      <c r="E56" s="5"/>
      <c r="F56" s="7" t="str">
        <f>IF(AND(A56&lt;&gt;"",B56&lt;&gt;"",C56&lt;&gt;"",D56&lt;&gt;""),LEFT(A56,2)&amp;LEFT(B56,4)&amp;LEFT(C56,2)&amp;SUBSTITUTE(UPPER(D56),"Ú","U"),"")</f>
        <v/>
      </c>
      <c r="G56" s="7" t="str">
        <f>IFERROR(INDEX(Modelos!$B$2:$B$301,MATCH($B56,Modelos!$C$2:$C$301,0))&amp;"","")</f>
        <v/>
      </c>
      <c r="H56" s="7" t="str">
        <f>IFERROR(INDEX(Modelos!$D$2:$D$301,MATCH($B56,Modelos!$C$2:$C$301,0))&amp;"","")</f>
        <v/>
      </c>
      <c r="I56" s="7" t="str">
        <f>IFERROR(INDEX(Modelos!$E$2:$E$301,MATCH($B56,Modelos!$C$2:$C$301,0))&amp;"","")</f>
        <v/>
      </c>
      <c r="J56" s="7" t="str">
        <f>IFERROR(INDEX(Modelos!$F$2:$F$301,MATCH($B56,Modelos!$C$2:$C$301,0))&amp;"","")</f>
        <v/>
      </c>
      <c r="K56" s="7" t="str">
        <f>IFERROR(INDEX(Modelos!$G$2:$G$301,MATCH($B56,Modelos!$C$2:$C$301,0))&amp;"","")</f>
        <v/>
      </c>
      <c r="L56" s="7" t="str">
        <f>IFERROR(INDEX(Diccionarios!$G$2:$G$201,MATCH($C56,Diccionarios!$H$2:$H$201,0))&amp;"","")</f>
        <v/>
      </c>
      <c r="M56" s="7" t="str">
        <f>IF(D56="","",D56&amp;"")</f>
        <v/>
      </c>
      <c r="N56" s="8" t="str">
        <f>IF($B56="","",IFERROR(INDEX(Modelos!$H$2:$H$301,MATCH($B56,Modelos!$C$2:$C$301,0)),""))</f>
        <v/>
      </c>
      <c r="O56" s="8" t="str">
        <f>IF($B56="","",IFERROR(INDEX(Modelos!$I$2:$I$301,MATCH($B56,Modelos!$C$2:$C$301,0)),""))</f>
        <v/>
      </c>
      <c r="P56" s="8" t="str">
        <f>IF($B56="","",IFERROR(INDEX(Modelos!$J$2:$J$301,MATCH($B56,Modelos!$C$2:$C$301,0)),""))</f>
        <v/>
      </c>
      <c r="Q56" s="7" t="str">
        <f>IFERROR(INDEX(Diccionarios!$B$2:$B$201,MATCH($A56,Diccionarios!$D$2:$D$201,0))&amp;"","")</f>
        <v/>
      </c>
      <c r="R56" s="7" t="str">
        <f>IFERROR(INDEX(Diccionarios!$C$2:$C$201,MATCH($A56,Diccionarios!$D$2:$D$201,0))&amp;"","")</f>
        <v/>
      </c>
      <c r="S56" s="7" t="str">
        <f>IFERROR(INDEX(Modelos!$K$2:$K$301,MATCH($B56,Modelos!$C$2:$C$301,0))&amp;"","")</f>
        <v/>
      </c>
      <c r="T56" s="7" t="str">
        <f>IFERROR(INDEX(Modelos!$L$2:$L$301,MATCH($B56,Modelos!$C$2:$C$301,0))&amp;"","")</f>
        <v/>
      </c>
    </row>
    <row r="57" spans="1:20" x14ac:dyDescent="0.25">
      <c r="A57" s="5"/>
      <c r="B57" s="5"/>
      <c r="C57" s="5"/>
      <c r="D57" s="6"/>
      <c r="E57" s="5"/>
      <c r="F57" s="7" t="str">
        <f>IF(AND(A57&lt;&gt;"",B57&lt;&gt;"",C57&lt;&gt;"",D57&lt;&gt;""),LEFT(A57,2)&amp;LEFT(B57,4)&amp;LEFT(C57,2)&amp;SUBSTITUTE(UPPER(D57),"Ú","U"),"")</f>
        <v/>
      </c>
      <c r="G57" s="7" t="str">
        <f>IFERROR(INDEX(Modelos!$B$2:$B$301,MATCH($B57,Modelos!$C$2:$C$301,0))&amp;"","")</f>
        <v/>
      </c>
      <c r="H57" s="7" t="str">
        <f>IFERROR(INDEX(Modelos!$D$2:$D$301,MATCH($B57,Modelos!$C$2:$C$301,0))&amp;"","")</f>
        <v/>
      </c>
      <c r="I57" s="7" t="str">
        <f>IFERROR(INDEX(Modelos!$E$2:$E$301,MATCH($B57,Modelos!$C$2:$C$301,0))&amp;"","")</f>
        <v/>
      </c>
      <c r="J57" s="7" t="str">
        <f>IFERROR(INDEX(Modelos!$F$2:$F$301,MATCH($B57,Modelos!$C$2:$C$301,0))&amp;"","")</f>
        <v/>
      </c>
      <c r="K57" s="7" t="str">
        <f>IFERROR(INDEX(Modelos!$G$2:$G$301,MATCH($B57,Modelos!$C$2:$C$301,0))&amp;"","")</f>
        <v/>
      </c>
      <c r="L57" s="7" t="str">
        <f>IFERROR(INDEX(Diccionarios!$G$2:$G$201,MATCH($C57,Diccionarios!$H$2:$H$201,0))&amp;"","")</f>
        <v/>
      </c>
      <c r="M57" s="7" t="str">
        <f>IF(D57="","",D57&amp;"")</f>
        <v/>
      </c>
      <c r="N57" s="8" t="str">
        <f>IF($B57="","",IFERROR(INDEX(Modelos!$H$2:$H$301,MATCH($B57,Modelos!$C$2:$C$301,0)),""))</f>
        <v/>
      </c>
      <c r="O57" s="8" t="str">
        <f>IF($B57="","",IFERROR(INDEX(Modelos!$I$2:$I$301,MATCH($B57,Modelos!$C$2:$C$301,0)),""))</f>
        <v/>
      </c>
      <c r="P57" s="8" t="str">
        <f>IF($B57="","",IFERROR(INDEX(Modelos!$J$2:$J$301,MATCH($B57,Modelos!$C$2:$C$301,0)),""))</f>
        <v/>
      </c>
      <c r="Q57" s="7" t="str">
        <f>IFERROR(INDEX(Diccionarios!$B$2:$B$201,MATCH($A57,Diccionarios!$D$2:$D$201,0))&amp;"","")</f>
        <v/>
      </c>
      <c r="R57" s="7" t="str">
        <f>IFERROR(INDEX(Diccionarios!$C$2:$C$201,MATCH($A57,Diccionarios!$D$2:$D$201,0))&amp;"","")</f>
        <v/>
      </c>
      <c r="S57" s="7" t="str">
        <f>IFERROR(INDEX(Modelos!$K$2:$K$301,MATCH($B57,Modelos!$C$2:$C$301,0))&amp;"","")</f>
        <v/>
      </c>
      <c r="T57" s="7" t="str">
        <f>IFERROR(INDEX(Modelos!$L$2:$L$301,MATCH($B57,Modelos!$C$2:$C$301,0))&amp;"","")</f>
        <v/>
      </c>
    </row>
    <row r="58" spans="1:20" x14ac:dyDescent="0.25">
      <c r="A58" s="5"/>
      <c r="B58" s="5"/>
      <c r="C58" s="5"/>
      <c r="D58" s="6"/>
      <c r="E58" s="5"/>
      <c r="F58" s="7" t="str">
        <f>IF(AND(A58&lt;&gt;"",B58&lt;&gt;"",C58&lt;&gt;"",D58&lt;&gt;""),LEFT(A58,2)&amp;LEFT(B58,4)&amp;LEFT(C58,2)&amp;SUBSTITUTE(UPPER(D58),"Ú","U"),"")</f>
        <v/>
      </c>
      <c r="G58" s="7" t="str">
        <f>IFERROR(INDEX(Modelos!$B$2:$B$301,MATCH($B58,Modelos!$C$2:$C$301,0))&amp;"","")</f>
        <v/>
      </c>
      <c r="H58" s="7" t="str">
        <f>IFERROR(INDEX(Modelos!$D$2:$D$301,MATCH($B58,Modelos!$C$2:$C$301,0))&amp;"","")</f>
        <v/>
      </c>
      <c r="I58" s="7" t="str">
        <f>IFERROR(INDEX(Modelos!$E$2:$E$301,MATCH($B58,Modelos!$C$2:$C$301,0))&amp;"","")</f>
        <v/>
      </c>
      <c r="J58" s="7" t="str">
        <f>IFERROR(INDEX(Modelos!$F$2:$F$301,MATCH($B58,Modelos!$C$2:$C$301,0))&amp;"","")</f>
        <v/>
      </c>
      <c r="K58" s="7" t="str">
        <f>IFERROR(INDEX(Modelos!$G$2:$G$301,MATCH($B58,Modelos!$C$2:$C$301,0))&amp;"","")</f>
        <v/>
      </c>
      <c r="L58" s="7" t="str">
        <f>IFERROR(INDEX(Diccionarios!$G$2:$G$201,MATCH($C58,Diccionarios!$H$2:$H$201,0))&amp;"","")</f>
        <v/>
      </c>
      <c r="M58" s="7" t="str">
        <f>IF(D58="","",D58&amp;"")</f>
        <v/>
      </c>
      <c r="N58" s="8" t="str">
        <f>IF($B58="","",IFERROR(INDEX(Modelos!$H$2:$H$301,MATCH($B58,Modelos!$C$2:$C$301,0)),""))</f>
        <v/>
      </c>
      <c r="O58" s="8" t="str">
        <f>IF($B58="","",IFERROR(INDEX(Modelos!$I$2:$I$301,MATCH($B58,Modelos!$C$2:$C$301,0)),""))</f>
        <v/>
      </c>
      <c r="P58" s="8" t="str">
        <f>IF($B58="","",IFERROR(INDEX(Modelos!$J$2:$J$301,MATCH($B58,Modelos!$C$2:$C$301,0)),""))</f>
        <v/>
      </c>
      <c r="Q58" s="7" t="str">
        <f>IFERROR(INDEX(Diccionarios!$B$2:$B$201,MATCH($A58,Diccionarios!$D$2:$D$201,0))&amp;"","")</f>
        <v/>
      </c>
      <c r="R58" s="7" t="str">
        <f>IFERROR(INDEX(Diccionarios!$C$2:$C$201,MATCH($A58,Diccionarios!$D$2:$D$201,0))&amp;"","")</f>
        <v/>
      </c>
      <c r="S58" s="7" t="str">
        <f>IFERROR(INDEX(Modelos!$K$2:$K$301,MATCH($B58,Modelos!$C$2:$C$301,0))&amp;"","")</f>
        <v/>
      </c>
      <c r="T58" s="7" t="str">
        <f>IFERROR(INDEX(Modelos!$L$2:$L$301,MATCH($B58,Modelos!$C$2:$C$301,0))&amp;"","")</f>
        <v/>
      </c>
    </row>
    <row r="59" spans="1:20" x14ac:dyDescent="0.25">
      <c r="A59" s="5"/>
      <c r="B59" s="5"/>
      <c r="C59" s="5"/>
      <c r="D59" s="6"/>
      <c r="E59" s="5"/>
      <c r="F59" s="7" t="str">
        <f>IF(AND(A59&lt;&gt;"",B59&lt;&gt;"",C59&lt;&gt;"",D59&lt;&gt;""),LEFT(A59,2)&amp;LEFT(B59,4)&amp;LEFT(C59,2)&amp;SUBSTITUTE(UPPER(D59),"Ú","U"),"")</f>
        <v/>
      </c>
      <c r="G59" s="7" t="str">
        <f>IFERROR(INDEX(Modelos!$B$2:$B$301,MATCH($B59,Modelos!$C$2:$C$301,0))&amp;"","")</f>
        <v/>
      </c>
      <c r="H59" s="7" t="str">
        <f>IFERROR(INDEX(Modelos!$D$2:$D$301,MATCH($B59,Modelos!$C$2:$C$301,0))&amp;"","")</f>
        <v/>
      </c>
      <c r="I59" s="7" t="str">
        <f>IFERROR(INDEX(Modelos!$E$2:$E$301,MATCH($B59,Modelos!$C$2:$C$301,0))&amp;"","")</f>
        <v/>
      </c>
      <c r="J59" s="7" t="str">
        <f>IFERROR(INDEX(Modelos!$F$2:$F$301,MATCH($B59,Modelos!$C$2:$C$301,0))&amp;"","")</f>
        <v/>
      </c>
      <c r="K59" s="7" t="str">
        <f>IFERROR(INDEX(Modelos!$G$2:$G$301,MATCH($B59,Modelos!$C$2:$C$301,0))&amp;"","")</f>
        <v/>
      </c>
      <c r="L59" s="7" t="str">
        <f>IFERROR(INDEX(Diccionarios!$G$2:$G$201,MATCH($C59,Diccionarios!$H$2:$H$201,0))&amp;"","")</f>
        <v/>
      </c>
      <c r="M59" s="7" t="str">
        <f>IF(D59="","",D59&amp;"")</f>
        <v/>
      </c>
      <c r="N59" s="8" t="str">
        <f>IF($B59="","",IFERROR(INDEX(Modelos!$H$2:$H$301,MATCH($B59,Modelos!$C$2:$C$301,0)),""))</f>
        <v/>
      </c>
      <c r="O59" s="8" t="str">
        <f>IF($B59="","",IFERROR(INDEX(Modelos!$I$2:$I$301,MATCH($B59,Modelos!$C$2:$C$301,0)),""))</f>
        <v/>
      </c>
      <c r="P59" s="8" t="str">
        <f>IF($B59="","",IFERROR(INDEX(Modelos!$J$2:$J$301,MATCH($B59,Modelos!$C$2:$C$301,0)),""))</f>
        <v/>
      </c>
      <c r="Q59" s="7" t="str">
        <f>IFERROR(INDEX(Diccionarios!$B$2:$B$201,MATCH($A59,Diccionarios!$D$2:$D$201,0))&amp;"","")</f>
        <v/>
      </c>
      <c r="R59" s="7" t="str">
        <f>IFERROR(INDEX(Diccionarios!$C$2:$C$201,MATCH($A59,Diccionarios!$D$2:$D$201,0))&amp;"","")</f>
        <v/>
      </c>
      <c r="S59" s="7" t="str">
        <f>IFERROR(INDEX(Modelos!$K$2:$K$301,MATCH($B59,Modelos!$C$2:$C$301,0))&amp;"","")</f>
        <v/>
      </c>
      <c r="T59" s="7" t="str">
        <f>IFERROR(INDEX(Modelos!$L$2:$L$301,MATCH($B59,Modelos!$C$2:$C$301,0))&amp;"","")</f>
        <v/>
      </c>
    </row>
    <row r="60" spans="1:20" x14ac:dyDescent="0.25">
      <c r="A60" s="5"/>
      <c r="B60" s="5"/>
      <c r="C60" s="5"/>
      <c r="D60" s="6"/>
      <c r="E60" s="5"/>
      <c r="F60" s="7" t="str">
        <f>IF(AND(A60&lt;&gt;"",B60&lt;&gt;"",C60&lt;&gt;"",D60&lt;&gt;""),LEFT(A60,2)&amp;LEFT(B60,4)&amp;LEFT(C60,2)&amp;SUBSTITUTE(UPPER(D60),"Ú","U"),"")</f>
        <v/>
      </c>
      <c r="G60" s="7" t="str">
        <f>IFERROR(INDEX(Modelos!$B$2:$B$301,MATCH($B60,Modelos!$C$2:$C$301,0))&amp;"","")</f>
        <v/>
      </c>
      <c r="H60" s="7" t="str">
        <f>IFERROR(INDEX(Modelos!$D$2:$D$301,MATCH($B60,Modelos!$C$2:$C$301,0))&amp;"","")</f>
        <v/>
      </c>
      <c r="I60" s="7" t="str">
        <f>IFERROR(INDEX(Modelos!$E$2:$E$301,MATCH($B60,Modelos!$C$2:$C$301,0))&amp;"","")</f>
        <v/>
      </c>
      <c r="J60" s="7" t="str">
        <f>IFERROR(INDEX(Modelos!$F$2:$F$301,MATCH($B60,Modelos!$C$2:$C$301,0))&amp;"","")</f>
        <v/>
      </c>
      <c r="K60" s="7" t="str">
        <f>IFERROR(INDEX(Modelos!$G$2:$G$301,MATCH($B60,Modelos!$C$2:$C$301,0))&amp;"","")</f>
        <v/>
      </c>
      <c r="L60" s="7" t="str">
        <f>IFERROR(INDEX(Diccionarios!$G$2:$G$201,MATCH($C60,Diccionarios!$H$2:$H$201,0))&amp;"","")</f>
        <v/>
      </c>
      <c r="M60" s="7" t="str">
        <f>IF(D60="","",D60&amp;"")</f>
        <v/>
      </c>
      <c r="N60" s="8" t="str">
        <f>IF($B60="","",IFERROR(INDEX(Modelos!$H$2:$H$301,MATCH($B60,Modelos!$C$2:$C$301,0)),""))</f>
        <v/>
      </c>
      <c r="O60" s="8" t="str">
        <f>IF($B60="","",IFERROR(INDEX(Modelos!$I$2:$I$301,MATCH($B60,Modelos!$C$2:$C$301,0)),""))</f>
        <v/>
      </c>
      <c r="P60" s="8" t="str">
        <f>IF($B60="","",IFERROR(INDEX(Modelos!$J$2:$J$301,MATCH($B60,Modelos!$C$2:$C$301,0)),""))</f>
        <v/>
      </c>
      <c r="Q60" s="7" t="str">
        <f>IFERROR(INDEX(Diccionarios!$B$2:$B$201,MATCH($A60,Diccionarios!$D$2:$D$201,0))&amp;"","")</f>
        <v/>
      </c>
      <c r="R60" s="7" t="str">
        <f>IFERROR(INDEX(Diccionarios!$C$2:$C$201,MATCH($A60,Diccionarios!$D$2:$D$201,0))&amp;"","")</f>
        <v/>
      </c>
      <c r="S60" s="7" t="str">
        <f>IFERROR(INDEX(Modelos!$K$2:$K$301,MATCH($B60,Modelos!$C$2:$C$301,0))&amp;"","")</f>
        <v/>
      </c>
      <c r="T60" s="7" t="str">
        <f>IFERROR(INDEX(Modelos!$L$2:$L$301,MATCH($B60,Modelos!$C$2:$C$301,0))&amp;"","")</f>
        <v/>
      </c>
    </row>
    <row r="61" spans="1:20" x14ac:dyDescent="0.25">
      <c r="A61" s="5"/>
      <c r="B61" s="5"/>
      <c r="C61" s="5"/>
      <c r="D61" s="6"/>
      <c r="E61" s="5"/>
      <c r="F61" s="7" t="str">
        <f>IF(AND(A61&lt;&gt;"",B61&lt;&gt;"",C61&lt;&gt;"",D61&lt;&gt;""),LEFT(A61,2)&amp;LEFT(B61,4)&amp;LEFT(C61,2)&amp;SUBSTITUTE(UPPER(D61),"Ú","U"),"")</f>
        <v/>
      </c>
      <c r="G61" s="7" t="str">
        <f>IFERROR(INDEX(Modelos!$B$2:$B$301,MATCH($B61,Modelos!$C$2:$C$301,0))&amp;"","")</f>
        <v/>
      </c>
      <c r="H61" s="7" t="str">
        <f>IFERROR(INDEX(Modelos!$D$2:$D$301,MATCH($B61,Modelos!$C$2:$C$301,0))&amp;"","")</f>
        <v/>
      </c>
      <c r="I61" s="7" t="str">
        <f>IFERROR(INDEX(Modelos!$E$2:$E$301,MATCH($B61,Modelos!$C$2:$C$301,0))&amp;"","")</f>
        <v/>
      </c>
      <c r="J61" s="7" t="str">
        <f>IFERROR(INDEX(Modelos!$F$2:$F$301,MATCH($B61,Modelos!$C$2:$C$301,0))&amp;"","")</f>
        <v/>
      </c>
      <c r="K61" s="7" t="str">
        <f>IFERROR(INDEX(Modelos!$G$2:$G$301,MATCH($B61,Modelos!$C$2:$C$301,0))&amp;"","")</f>
        <v/>
      </c>
      <c r="L61" s="7" t="str">
        <f>IFERROR(INDEX(Diccionarios!$G$2:$G$201,MATCH($C61,Diccionarios!$H$2:$H$201,0))&amp;"","")</f>
        <v/>
      </c>
      <c r="M61" s="7" t="str">
        <f>IF(D61="","",D61&amp;"")</f>
        <v/>
      </c>
      <c r="N61" s="8" t="str">
        <f>IF($B61="","",IFERROR(INDEX(Modelos!$H$2:$H$301,MATCH($B61,Modelos!$C$2:$C$301,0)),""))</f>
        <v/>
      </c>
      <c r="O61" s="8" t="str">
        <f>IF($B61="","",IFERROR(INDEX(Modelos!$I$2:$I$301,MATCH($B61,Modelos!$C$2:$C$301,0)),""))</f>
        <v/>
      </c>
      <c r="P61" s="8" t="str">
        <f>IF($B61="","",IFERROR(INDEX(Modelos!$J$2:$J$301,MATCH($B61,Modelos!$C$2:$C$301,0)),""))</f>
        <v/>
      </c>
      <c r="Q61" s="7" t="str">
        <f>IFERROR(INDEX(Diccionarios!$B$2:$B$201,MATCH($A61,Diccionarios!$D$2:$D$201,0))&amp;"","")</f>
        <v/>
      </c>
      <c r="R61" s="7" t="str">
        <f>IFERROR(INDEX(Diccionarios!$C$2:$C$201,MATCH($A61,Diccionarios!$D$2:$D$201,0))&amp;"","")</f>
        <v/>
      </c>
      <c r="S61" s="7" t="str">
        <f>IFERROR(INDEX(Modelos!$K$2:$K$301,MATCH($B61,Modelos!$C$2:$C$301,0))&amp;"","")</f>
        <v/>
      </c>
      <c r="T61" s="7" t="str">
        <f>IFERROR(INDEX(Modelos!$L$2:$L$301,MATCH($B61,Modelos!$C$2:$C$301,0))&amp;"","")</f>
        <v/>
      </c>
    </row>
    <row r="62" spans="1:20" x14ac:dyDescent="0.25">
      <c r="A62" s="5"/>
      <c r="B62" s="5"/>
      <c r="C62" s="5"/>
      <c r="D62" s="6"/>
      <c r="E62" s="5"/>
      <c r="F62" s="7" t="str">
        <f>IF(AND(A62&lt;&gt;"",B62&lt;&gt;"",C62&lt;&gt;"",D62&lt;&gt;""),LEFT(A62,2)&amp;LEFT(B62,4)&amp;LEFT(C62,2)&amp;SUBSTITUTE(UPPER(D62),"Ú","U"),"")</f>
        <v/>
      </c>
      <c r="G62" s="7" t="str">
        <f>IFERROR(INDEX(Modelos!$B$2:$B$301,MATCH($B62,Modelos!$C$2:$C$301,0))&amp;"","")</f>
        <v/>
      </c>
      <c r="H62" s="7" t="str">
        <f>IFERROR(INDEX(Modelos!$D$2:$D$301,MATCH($B62,Modelos!$C$2:$C$301,0))&amp;"","")</f>
        <v/>
      </c>
      <c r="I62" s="7" t="str">
        <f>IFERROR(INDEX(Modelos!$E$2:$E$301,MATCH($B62,Modelos!$C$2:$C$301,0))&amp;"","")</f>
        <v/>
      </c>
      <c r="J62" s="7" t="str">
        <f>IFERROR(INDEX(Modelos!$F$2:$F$301,MATCH($B62,Modelos!$C$2:$C$301,0))&amp;"","")</f>
        <v/>
      </c>
      <c r="K62" s="7" t="str">
        <f>IFERROR(INDEX(Modelos!$G$2:$G$301,MATCH($B62,Modelos!$C$2:$C$301,0))&amp;"","")</f>
        <v/>
      </c>
      <c r="L62" s="7" t="str">
        <f>IFERROR(INDEX(Diccionarios!$G$2:$G$201,MATCH($C62,Diccionarios!$H$2:$H$201,0))&amp;"","")</f>
        <v/>
      </c>
      <c r="M62" s="7" t="str">
        <f>IF(D62="","",D62&amp;"")</f>
        <v/>
      </c>
      <c r="N62" s="8" t="str">
        <f>IF($B62="","",IFERROR(INDEX(Modelos!$H$2:$H$301,MATCH($B62,Modelos!$C$2:$C$301,0)),""))</f>
        <v/>
      </c>
      <c r="O62" s="8" t="str">
        <f>IF($B62="","",IFERROR(INDEX(Modelos!$I$2:$I$301,MATCH($B62,Modelos!$C$2:$C$301,0)),""))</f>
        <v/>
      </c>
      <c r="P62" s="8" t="str">
        <f>IF($B62="","",IFERROR(INDEX(Modelos!$J$2:$J$301,MATCH($B62,Modelos!$C$2:$C$301,0)),""))</f>
        <v/>
      </c>
      <c r="Q62" s="7" t="str">
        <f>IFERROR(INDEX(Diccionarios!$B$2:$B$201,MATCH($A62,Diccionarios!$D$2:$D$201,0))&amp;"","")</f>
        <v/>
      </c>
      <c r="R62" s="7" t="str">
        <f>IFERROR(INDEX(Diccionarios!$C$2:$C$201,MATCH($A62,Diccionarios!$D$2:$D$201,0))&amp;"","")</f>
        <v/>
      </c>
      <c r="S62" s="7" t="str">
        <f>IFERROR(INDEX(Modelos!$K$2:$K$301,MATCH($B62,Modelos!$C$2:$C$301,0))&amp;"","")</f>
        <v/>
      </c>
      <c r="T62" s="7" t="str">
        <f>IFERROR(INDEX(Modelos!$L$2:$L$301,MATCH($B62,Modelos!$C$2:$C$301,0))&amp;"","")</f>
        <v/>
      </c>
    </row>
    <row r="63" spans="1:20" x14ac:dyDescent="0.25">
      <c r="A63" s="5"/>
      <c r="B63" s="5"/>
      <c r="C63" s="5"/>
      <c r="D63" s="6"/>
      <c r="E63" s="5"/>
      <c r="F63" s="7" t="str">
        <f>IF(AND(A63&lt;&gt;"",B63&lt;&gt;"",C63&lt;&gt;"",D63&lt;&gt;""),LEFT(A63,2)&amp;LEFT(B63,4)&amp;LEFT(C63,2)&amp;SUBSTITUTE(UPPER(D63),"Ú","U"),"")</f>
        <v/>
      </c>
      <c r="G63" s="7" t="str">
        <f>IFERROR(INDEX(Modelos!$B$2:$B$301,MATCH($B63,Modelos!$C$2:$C$301,0))&amp;"","")</f>
        <v/>
      </c>
      <c r="H63" s="7" t="str">
        <f>IFERROR(INDEX(Modelos!$D$2:$D$301,MATCH($B63,Modelos!$C$2:$C$301,0))&amp;"","")</f>
        <v/>
      </c>
      <c r="I63" s="7" t="str">
        <f>IFERROR(INDEX(Modelos!$E$2:$E$301,MATCH($B63,Modelos!$C$2:$C$301,0))&amp;"","")</f>
        <v/>
      </c>
      <c r="J63" s="7" t="str">
        <f>IFERROR(INDEX(Modelos!$F$2:$F$301,MATCH($B63,Modelos!$C$2:$C$301,0))&amp;"","")</f>
        <v/>
      </c>
      <c r="K63" s="7" t="str">
        <f>IFERROR(INDEX(Modelos!$G$2:$G$301,MATCH($B63,Modelos!$C$2:$C$301,0))&amp;"","")</f>
        <v/>
      </c>
      <c r="L63" s="7" t="str">
        <f>IFERROR(INDEX(Diccionarios!$G$2:$G$201,MATCH($C63,Diccionarios!$H$2:$H$201,0))&amp;"","")</f>
        <v/>
      </c>
      <c r="M63" s="7" t="str">
        <f>IF(D63="","",D63&amp;"")</f>
        <v/>
      </c>
      <c r="N63" s="8" t="str">
        <f>IF($B63="","",IFERROR(INDEX(Modelos!$H$2:$H$301,MATCH($B63,Modelos!$C$2:$C$301,0)),""))</f>
        <v/>
      </c>
      <c r="O63" s="8" t="str">
        <f>IF($B63="","",IFERROR(INDEX(Modelos!$I$2:$I$301,MATCH($B63,Modelos!$C$2:$C$301,0)),""))</f>
        <v/>
      </c>
      <c r="P63" s="8" t="str">
        <f>IF($B63="","",IFERROR(INDEX(Modelos!$J$2:$J$301,MATCH($B63,Modelos!$C$2:$C$301,0)),""))</f>
        <v/>
      </c>
      <c r="Q63" s="7" t="str">
        <f>IFERROR(INDEX(Diccionarios!$B$2:$B$201,MATCH($A63,Diccionarios!$D$2:$D$201,0))&amp;"","")</f>
        <v/>
      </c>
      <c r="R63" s="7" t="str">
        <f>IFERROR(INDEX(Diccionarios!$C$2:$C$201,MATCH($A63,Diccionarios!$D$2:$D$201,0))&amp;"","")</f>
        <v/>
      </c>
      <c r="S63" s="7" t="str">
        <f>IFERROR(INDEX(Modelos!$K$2:$K$301,MATCH($B63,Modelos!$C$2:$C$301,0))&amp;"","")</f>
        <v/>
      </c>
      <c r="T63" s="7" t="str">
        <f>IFERROR(INDEX(Modelos!$L$2:$L$301,MATCH($B63,Modelos!$C$2:$C$301,0))&amp;"","")</f>
        <v/>
      </c>
    </row>
    <row r="64" spans="1:20" x14ac:dyDescent="0.25">
      <c r="A64" s="5"/>
      <c r="B64" s="5"/>
      <c r="C64" s="5"/>
      <c r="D64" s="6"/>
      <c r="E64" s="5"/>
      <c r="F64" s="7" t="str">
        <f>IF(AND(A64&lt;&gt;"",B64&lt;&gt;"",C64&lt;&gt;"",D64&lt;&gt;""),LEFT(A64,2)&amp;LEFT(B64,4)&amp;LEFT(C64,2)&amp;SUBSTITUTE(UPPER(D64),"Ú","U"),"")</f>
        <v/>
      </c>
      <c r="G64" s="7" t="str">
        <f>IFERROR(INDEX(Modelos!$B$2:$B$301,MATCH($B64,Modelos!$C$2:$C$301,0))&amp;"","")</f>
        <v/>
      </c>
      <c r="H64" s="7" t="str">
        <f>IFERROR(INDEX(Modelos!$D$2:$D$301,MATCH($B64,Modelos!$C$2:$C$301,0))&amp;"","")</f>
        <v/>
      </c>
      <c r="I64" s="7" t="str">
        <f>IFERROR(INDEX(Modelos!$E$2:$E$301,MATCH($B64,Modelos!$C$2:$C$301,0))&amp;"","")</f>
        <v/>
      </c>
      <c r="J64" s="7" t="str">
        <f>IFERROR(INDEX(Modelos!$F$2:$F$301,MATCH($B64,Modelos!$C$2:$C$301,0))&amp;"","")</f>
        <v/>
      </c>
      <c r="K64" s="7" t="str">
        <f>IFERROR(INDEX(Modelos!$G$2:$G$301,MATCH($B64,Modelos!$C$2:$C$301,0))&amp;"","")</f>
        <v/>
      </c>
      <c r="L64" s="7" t="str">
        <f>IFERROR(INDEX(Diccionarios!$G$2:$G$201,MATCH($C64,Diccionarios!$H$2:$H$201,0))&amp;"","")</f>
        <v/>
      </c>
      <c r="M64" s="7" t="str">
        <f>IF(D64="","",D64&amp;"")</f>
        <v/>
      </c>
      <c r="N64" s="8" t="str">
        <f>IF($B64="","",IFERROR(INDEX(Modelos!$H$2:$H$301,MATCH($B64,Modelos!$C$2:$C$301,0)),""))</f>
        <v/>
      </c>
      <c r="O64" s="8" t="str">
        <f>IF($B64="","",IFERROR(INDEX(Modelos!$I$2:$I$301,MATCH($B64,Modelos!$C$2:$C$301,0)),""))</f>
        <v/>
      </c>
      <c r="P64" s="8" t="str">
        <f>IF($B64="","",IFERROR(INDEX(Modelos!$J$2:$J$301,MATCH($B64,Modelos!$C$2:$C$301,0)),""))</f>
        <v/>
      </c>
      <c r="Q64" s="7" t="str">
        <f>IFERROR(INDEX(Diccionarios!$B$2:$B$201,MATCH($A64,Diccionarios!$D$2:$D$201,0))&amp;"","")</f>
        <v/>
      </c>
      <c r="R64" s="7" t="str">
        <f>IFERROR(INDEX(Diccionarios!$C$2:$C$201,MATCH($A64,Diccionarios!$D$2:$D$201,0))&amp;"","")</f>
        <v/>
      </c>
      <c r="S64" s="7" t="str">
        <f>IFERROR(INDEX(Modelos!$K$2:$K$301,MATCH($B64,Modelos!$C$2:$C$301,0))&amp;"","")</f>
        <v/>
      </c>
      <c r="T64" s="7" t="str">
        <f>IFERROR(INDEX(Modelos!$L$2:$L$301,MATCH($B64,Modelos!$C$2:$C$301,0))&amp;"","")</f>
        <v/>
      </c>
    </row>
    <row r="65" spans="1:20" x14ac:dyDescent="0.25">
      <c r="A65" s="5"/>
      <c r="B65" s="5"/>
      <c r="C65" s="5"/>
      <c r="D65" s="6"/>
      <c r="E65" s="5"/>
      <c r="F65" s="7" t="str">
        <f>IF(AND(A65&lt;&gt;"",B65&lt;&gt;"",C65&lt;&gt;"",D65&lt;&gt;""),LEFT(A65,2)&amp;LEFT(B65,4)&amp;LEFT(C65,2)&amp;SUBSTITUTE(UPPER(D65),"Ú","U"),"")</f>
        <v/>
      </c>
      <c r="G65" s="7" t="str">
        <f>IFERROR(INDEX(Modelos!$B$2:$B$301,MATCH($B65,Modelos!$C$2:$C$301,0))&amp;"","")</f>
        <v/>
      </c>
      <c r="H65" s="7" t="str">
        <f>IFERROR(INDEX(Modelos!$D$2:$D$301,MATCH($B65,Modelos!$C$2:$C$301,0))&amp;"","")</f>
        <v/>
      </c>
      <c r="I65" s="7" t="str">
        <f>IFERROR(INDEX(Modelos!$E$2:$E$301,MATCH($B65,Modelos!$C$2:$C$301,0))&amp;"","")</f>
        <v/>
      </c>
      <c r="J65" s="7" t="str">
        <f>IFERROR(INDEX(Modelos!$F$2:$F$301,MATCH($B65,Modelos!$C$2:$C$301,0))&amp;"","")</f>
        <v/>
      </c>
      <c r="K65" s="7" t="str">
        <f>IFERROR(INDEX(Modelos!$G$2:$G$301,MATCH($B65,Modelos!$C$2:$C$301,0))&amp;"","")</f>
        <v/>
      </c>
      <c r="L65" s="7" t="str">
        <f>IFERROR(INDEX(Diccionarios!$G$2:$G$201,MATCH($C65,Diccionarios!$H$2:$H$201,0))&amp;"","")</f>
        <v/>
      </c>
      <c r="M65" s="7" t="str">
        <f>IF(D65="","",D65&amp;"")</f>
        <v/>
      </c>
      <c r="N65" s="8" t="str">
        <f>IF($B65="","",IFERROR(INDEX(Modelos!$H$2:$H$301,MATCH($B65,Modelos!$C$2:$C$301,0)),""))</f>
        <v/>
      </c>
      <c r="O65" s="8" t="str">
        <f>IF($B65="","",IFERROR(INDEX(Modelos!$I$2:$I$301,MATCH($B65,Modelos!$C$2:$C$301,0)),""))</f>
        <v/>
      </c>
      <c r="P65" s="8" t="str">
        <f>IF($B65="","",IFERROR(INDEX(Modelos!$J$2:$J$301,MATCH($B65,Modelos!$C$2:$C$301,0)),""))</f>
        <v/>
      </c>
      <c r="Q65" s="7" t="str">
        <f>IFERROR(INDEX(Diccionarios!$B$2:$B$201,MATCH($A65,Diccionarios!$D$2:$D$201,0))&amp;"","")</f>
        <v/>
      </c>
      <c r="R65" s="7" t="str">
        <f>IFERROR(INDEX(Diccionarios!$C$2:$C$201,MATCH($A65,Diccionarios!$D$2:$D$201,0))&amp;"","")</f>
        <v/>
      </c>
      <c r="S65" s="7" t="str">
        <f>IFERROR(INDEX(Modelos!$K$2:$K$301,MATCH($B65,Modelos!$C$2:$C$301,0))&amp;"","")</f>
        <v/>
      </c>
      <c r="T65" s="7" t="str">
        <f>IFERROR(INDEX(Modelos!$L$2:$L$301,MATCH($B65,Modelos!$C$2:$C$301,0))&amp;"","")</f>
        <v/>
      </c>
    </row>
    <row r="66" spans="1:20" x14ac:dyDescent="0.25">
      <c r="A66" s="5"/>
      <c r="B66" s="5"/>
      <c r="C66" s="5"/>
      <c r="D66" s="6"/>
      <c r="E66" s="5"/>
      <c r="F66" s="7" t="str">
        <f>IF(AND(A66&lt;&gt;"",B66&lt;&gt;"",C66&lt;&gt;"",D66&lt;&gt;""),LEFT(A66,2)&amp;LEFT(B66,4)&amp;LEFT(C66,2)&amp;SUBSTITUTE(UPPER(D66),"Ú","U"),"")</f>
        <v/>
      </c>
      <c r="G66" s="7" t="str">
        <f>IFERROR(INDEX(Modelos!$B$2:$B$301,MATCH($B66,Modelos!$C$2:$C$301,0))&amp;"","")</f>
        <v/>
      </c>
      <c r="H66" s="7" t="str">
        <f>IFERROR(INDEX(Modelos!$D$2:$D$301,MATCH($B66,Modelos!$C$2:$C$301,0))&amp;"","")</f>
        <v/>
      </c>
      <c r="I66" s="7" t="str">
        <f>IFERROR(INDEX(Modelos!$E$2:$E$301,MATCH($B66,Modelos!$C$2:$C$301,0))&amp;"","")</f>
        <v/>
      </c>
      <c r="J66" s="7" t="str">
        <f>IFERROR(INDEX(Modelos!$F$2:$F$301,MATCH($B66,Modelos!$C$2:$C$301,0))&amp;"","")</f>
        <v/>
      </c>
      <c r="K66" s="7" t="str">
        <f>IFERROR(INDEX(Modelos!$G$2:$G$301,MATCH($B66,Modelos!$C$2:$C$301,0))&amp;"","")</f>
        <v/>
      </c>
      <c r="L66" s="7" t="str">
        <f>IFERROR(INDEX(Diccionarios!$G$2:$G$201,MATCH($C66,Diccionarios!$H$2:$H$201,0))&amp;"","")</f>
        <v/>
      </c>
      <c r="M66" s="7" t="str">
        <f>IF(D66="","",D66&amp;"")</f>
        <v/>
      </c>
      <c r="N66" s="8" t="str">
        <f>IF($B66="","",IFERROR(INDEX(Modelos!$H$2:$H$301,MATCH($B66,Modelos!$C$2:$C$301,0)),""))</f>
        <v/>
      </c>
      <c r="O66" s="8" t="str">
        <f>IF($B66="","",IFERROR(INDEX(Modelos!$I$2:$I$301,MATCH($B66,Modelos!$C$2:$C$301,0)),""))</f>
        <v/>
      </c>
      <c r="P66" s="8" t="str">
        <f>IF($B66="","",IFERROR(INDEX(Modelos!$J$2:$J$301,MATCH($B66,Modelos!$C$2:$C$301,0)),""))</f>
        <v/>
      </c>
      <c r="Q66" s="7" t="str">
        <f>IFERROR(INDEX(Diccionarios!$B$2:$B$201,MATCH($A66,Diccionarios!$D$2:$D$201,0))&amp;"","")</f>
        <v/>
      </c>
      <c r="R66" s="7" t="str">
        <f>IFERROR(INDEX(Diccionarios!$C$2:$C$201,MATCH($A66,Diccionarios!$D$2:$D$201,0))&amp;"","")</f>
        <v/>
      </c>
      <c r="S66" s="7" t="str">
        <f>IFERROR(INDEX(Modelos!$K$2:$K$301,MATCH($B66,Modelos!$C$2:$C$301,0))&amp;"","")</f>
        <v/>
      </c>
      <c r="T66" s="7" t="str">
        <f>IFERROR(INDEX(Modelos!$L$2:$L$301,MATCH($B66,Modelos!$C$2:$C$301,0))&amp;"","")</f>
        <v/>
      </c>
    </row>
    <row r="67" spans="1:20" x14ac:dyDescent="0.25">
      <c r="A67" s="5"/>
      <c r="B67" s="5"/>
      <c r="C67" s="5"/>
      <c r="D67" s="6"/>
      <c r="E67" s="5"/>
      <c r="F67" s="7" t="str">
        <f>IF(AND(A67&lt;&gt;"",B67&lt;&gt;"",C67&lt;&gt;"",D67&lt;&gt;""),LEFT(A67,2)&amp;LEFT(B67,4)&amp;LEFT(C67,2)&amp;SUBSTITUTE(UPPER(D67),"Ú","U"),"")</f>
        <v/>
      </c>
      <c r="G67" s="7" t="str">
        <f>IFERROR(INDEX(Modelos!$B$2:$B$301,MATCH($B67,Modelos!$C$2:$C$301,0))&amp;"","")</f>
        <v/>
      </c>
      <c r="H67" s="7" t="str">
        <f>IFERROR(INDEX(Modelos!$D$2:$D$301,MATCH($B67,Modelos!$C$2:$C$301,0))&amp;"","")</f>
        <v/>
      </c>
      <c r="I67" s="7" t="str">
        <f>IFERROR(INDEX(Modelos!$E$2:$E$301,MATCH($B67,Modelos!$C$2:$C$301,0))&amp;"","")</f>
        <v/>
      </c>
      <c r="J67" s="7" t="str">
        <f>IFERROR(INDEX(Modelos!$F$2:$F$301,MATCH($B67,Modelos!$C$2:$C$301,0))&amp;"","")</f>
        <v/>
      </c>
      <c r="K67" s="7" t="str">
        <f>IFERROR(INDEX(Modelos!$G$2:$G$301,MATCH($B67,Modelos!$C$2:$C$301,0))&amp;"","")</f>
        <v/>
      </c>
      <c r="L67" s="7" t="str">
        <f>IFERROR(INDEX(Diccionarios!$G$2:$G$201,MATCH($C67,Diccionarios!$H$2:$H$201,0))&amp;"","")</f>
        <v/>
      </c>
      <c r="M67" s="7" t="str">
        <f>IF(D67="","",D67&amp;"")</f>
        <v/>
      </c>
      <c r="N67" s="8" t="str">
        <f>IF($B67="","",IFERROR(INDEX(Modelos!$H$2:$H$301,MATCH($B67,Modelos!$C$2:$C$301,0)),""))</f>
        <v/>
      </c>
      <c r="O67" s="8" t="str">
        <f>IF($B67="","",IFERROR(INDEX(Modelos!$I$2:$I$301,MATCH($B67,Modelos!$C$2:$C$301,0)),""))</f>
        <v/>
      </c>
      <c r="P67" s="8" t="str">
        <f>IF($B67="","",IFERROR(INDEX(Modelos!$J$2:$J$301,MATCH($B67,Modelos!$C$2:$C$301,0)),""))</f>
        <v/>
      </c>
      <c r="Q67" s="7" t="str">
        <f>IFERROR(INDEX(Diccionarios!$B$2:$B$201,MATCH($A67,Diccionarios!$D$2:$D$201,0))&amp;"","")</f>
        <v/>
      </c>
      <c r="R67" s="7" t="str">
        <f>IFERROR(INDEX(Diccionarios!$C$2:$C$201,MATCH($A67,Diccionarios!$D$2:$D$201,0))&amp;"","")</f>
        <v/>
      </c>
      <c r="S67" s="7" t="str">
        <f>IFERROR(INDEX(Modelos!$K$2:$K$301,MATCH($B67,Modelos!$C$2:$C$301,0))&amp;"","")</f>
        <v/>
      </c>
      <c r="T67" s="7" t="str">
        <f>IFERROR(INDEX(Modelos!$L$2:$L$301,MATCH($B67,Modelos!$C$2:$C$301,0))&amp;"","")</f>
        <v/>
      </c>
    </row>
    <row r="68" spans="1:20" x14ac:dyDescent="0.25">
      <c r="A68" s="5"/>
      <c r="B68" s="5"/>
      <c r="C68" s="5"/>
      <c r="D68" s="6"/>
      <c r="E68" s="5"/>
      <c r="F68" s="7" t="str">
        <f>IF(AND(A68&lt;&gt;"",B68&lt;&gt;"",C68&lt;&gt;"",D68&lt;&gt;""),LEFT(A68,2)&amp;LEFT(B68,4)&amp;LEFT(C68,2)&amp;SUBSTITUTE(UPPER(D68),"Ú","U"),"")</f>
        <v/>
      </c>
      <c r="G68" s="7" t="str">
        <f>IFERROR(INDEX(Modelos!$B$2:$B$301,MATCH($B68,Modelos!$C$2:$C$301,0))&amp;"","")</f>
        <v/>
      </c>
      <c r="H68" s="7" t="str">
        <f>IFERROR(INDEX(Modelos!$D$2:$D$301,MATCH($B68,Modelos!$C$2:$C$301,0))&amp;"","")</f>
        <v/>
      </c>
      <c r="I68" s="7" t="str">
        <f>IFERROR(INDEX(Modelos!$E$2:$E$301,MATCH($B68,Modelos!$C$2:$C$301,0))&amp;"","")</f>
        <v/>
      </c>
      <c r="J68" s="7" t="str">
        <f>IFERROR(INDEX(Modelos!$F$2:$F$301,MATCH($B68,Modelos!$C$2:$C$301,0))&amp;"","")</f>
        <v/>
      </c>
      <c r="K68" s="7" t="str">
        <f>IFERROR(INDEX(Modelos!$G$2:$G$301,MATCH($B68,Modelos!$C$2:$C$301,0))&amp;"","")</f>
        <v/>
      </c>
      <c r="L68" s="7" t="str">
        <f>IFERROR(INDEX(Diccionarios!$G$2:$G$201,MATCH($C68,Diccionarios!$H$2:$H$201,0))&amp;"","")</f>
        <v/>
      </c>
      <c r="M68" s="7" t="str">
        <f>IF(D68="","",D68&amp;"")</f>
        <v/>
      </c>
      <c r="N68" s="8" t="str">
        <f>IF($B68="","",IFERROR(INDEX(Modelos!$H$2:$H$301,MATCH($B68,Modelos!$C$2:$C$301,0)),""))</f>
        <v/>
      </c>
      <c r="O68" s="8" t="str">
        <f>IF($B68="","",IFERROR(INDEX(Modelos!$I$2:$I$301,MATCH($B68,Modelos!$C$2:$C$301,0)),""))</f>
        <v/>
      </c>
      <c r="P68" s="8" t="str">
        <f>IF($B68="","",IFERROR(INDEX(Modelos!$J$2:$J$301,MATCH($B68,Modelos!$C$2:$C$301,0)),""))</f>
        <v/>
      </c>
      <c r="Q68" s="7" t="str">
        <f>IFERROR(INDEX(Diccionarios!$B$2:$B$201,MATCH($A68,Diccionarios!$D$2:$D$201,0))&amp;"","")</f>
        <v/>
      </c>
      <c r="R68" s="7" t="str">
        <f>IFERROR(INDEX(Diccionarios!$C$2:$C$201,MATCH($A68,Diccionarios!$D$2:$D$201,0))&amp;"","")</f>
        <v/>
      </c>
      <c r="S68" s="7" t="str">
        <f>IFERROR(INDEX(Modelos!$K$2:$K$301,MATCH($B68,Modelos!$C$2:$C$301,0))&amp;"","")</f>
        <v/>
      </c>
      <c r="T68" s="7" t="str">
        <f>IFERROR(INDEX(Modelos!$L$2:$L$301,MATCH($B68,Modelos!$C$2:$C$301,0))&amp;"","")</f>
        <v/>
      </c>
    </row>
    <row r="69" spans="1:20" x14ac:dyDescent="0.25">
      <c r="A69" s="5"/>
      <c r="B69" s="5"/>
      <c r="C69" s="5"/>
      <c r="D69" s="6"/>
      <c r="E69" s="5"/>
      <c r="F69" s="7" t="str">
        <f>IF(AND(A69&lt;&gt;"",B69&lt;&gt;"",C69&lt;&gt;"",D69&lt;&gt;""),LEFT(A69,2)&amp;LEFT(B69,4)&amp;LEFT(C69,2)&amp;SUBSTITUTE(UPPER(D69),"Ú","U"),"")</f>
        <v/>
      </c>
      <c r="G69" s="7" t="str">
        <f>IFERROR(INDEX(Modelos!$B$2:$B$301,MATCH($B69,Modelos!$C$2:$C$301,0))&amp;"","")</f>
        <v/>
      </c>
      <c r="H69" s="7" t="str">
        <f>IFERROR(INDEX(Modelos!$D$2:$D$301,MATCH($B69,Modelos!$C$2:$C$301,0))&amp;"","")</f>
        <v/>
      </c>
      <c r="I69" s="7" t="str">
        <f>IFERROR(INDEX(Modelos!$E$2:$E$301,MATCH($B69,Modelos!$C$2:$C$301,0))&amp;"","")</f>
        <v/>
      </c>
      <c r="J69" s="7" t="str">
        <f>IFERROR(INDEX(Modelos!$F$2:$F$301,MATCH($B69,Modelos!$C$2:$C$301,0))&amp;"","")</f>
        <v/>
      </c>
      <c r="K69" s="7" t="str">
        <f>IFERROR(INDEX(Modelos!$G$2:$G$301,MATCH($B69,Modelos!$C$2:$C$301,0))&amp;"","")</f>
        <v/>
      </c>
      <c r="L69" s="7" t="str">
        <f>IFERROR(INDEX(Diccionarios!$G$2:$G$201,MATCH($C69,Diccionarios!$H$2:$H$201,0))&amp;"","")</f>
        <v/>
      </c>
      <c r="M69" s="7" t="str">
        <f>IF(D69="","",D69&amp;"")</f>
        <v/>
      </c>
      <c r="N69" s="8" t="str">
        <f>IF($B69="","",IFERROR(INDEX(Modelos!$H$2:$H$301,MATCH($B69,Modelos!$C$2:$C$301,0)),""))</f>
        <v/>
      </c>
      <c r="O69" s="8" t="str">
        <f>IF($B69="","",IFERROR(INDEX(Modelos!$I$2:$I$301,MATCH($B69,Modelos!$C$2:$C$301,0)),""))</f>
        <v/>
      </c>
      <c r="P69" s="8" t="str">
        <f>IF($B69="","",IFERROR(INDEX(Modelos!$J$2:$J$301,MATCH($B69,Modelos!$C$2:$C$301,0)),""))</f>
        <v/>
      </c>
      <c r="Q69" s="7" t="str">
        <f>IFERROR(INDEX(Diccionarios!$B$2:$B$201,MATCH($A69,Diccionarios!$D$2:$D$201,0))&amp;"","")</f>
        <v/>
      </c>
      <c r="R69" s="7" t="str">
        <f>IFERROR(INDEX(Diccionarios!$C$2:$C$201,MATCH($A69,Diccionarios!$D$2:$D$201,0))&amp;"","")</f>
        <v/>
      </c>
      <c r="S69" s="7" t="str">
        <f>IFERROR(INDEX(Modelos!$K$2:$K$301,MATCH($B69,Modelos!$C$2:$C$301,0))&amp;"","")</f>
        <v/>
      </c>
      <c r="T69" s="7" t="str">
        <f>IFERROR(INDEX(Modelos!$L$2:$L$301,MATCH($B69,Modelos!$C$2:$C$301,0))&amp;"","")</f>
        <v/>
      </c>
    </row>
    <row r="70" spans="1:20" x14ac:dyDescent="0.25">
      <c r="A70" s="5"/>
      <c r="B70" s="5"/>
      <c r="C70" s="5"/>
      <c r="D70" s="6"/>
      <c r="E70" s="5"/>
      <c r="F70" s="7" t="str">
        <f>IF(AND(A70&lt;&gt;"",B70&lt;&gt;"",C70&lt;&gt;"",D70&lt;&gt;""),LEFT(A70,2)&amp;LEFT(B70,4)&amp;LEFT(C70,2)&amp;SUBSTITUTE(UPPER(D70),"Ú","U"),"")</f>
        <v/>
      </c>
      <c r="G70" s="7" t="str">
        <f>IFERROR(INDEX(Modelos!$B$2:$B$301,MATCH($B70,Modelos!$C$2:$C$301,0))&amp;"","")</f>
        <v/>
      </c>
      <c r="H70" s="7" t="str">
        <f>IFERROR(INDEX(Modelos!$D$2:$D$301,MATCH($B70,Modelos!$C$2:$C$301,0))&amp;"","")</f>
        <v/>
      </c>
      <c r="I70" s="7" t="str">
        <f>IFERROR(INDEX(Modelos!$E$2:$E$301,MATCH($B70,Modelos!$C$2:$C$301,0))&amp;"","")</f>
        <v/>
      </c>
      <c r="J70" s="7" t="str">
        <f>IFERROR(INDEX(Modelos!$F$2:$F$301,MATCH($B70,Modelos!$C$2:$C$301,0))&amp;"","")</f>
        <v/>
      </c>
      <c r="K70" s="7" t="str">
        <f>IFERROR(INDEX(Modelos!$G$2:$G$301,MATCH($B70,Modelos!$C$2:$C$301,0))&amp;"","")</f>
        <v/>
      </c>
      <c r="L70" s="7" t="str">
        <f>IFERROR(INDEX(Diccionarios!$G$2:$G$201,MATCH($C70,Diccionarios!$H$2:$H$201,0))&amp;"","")</f>
        <v/>
      </c>
      <c r="M70" s="7" t="str">
        <f>IF(D70="","",D70&amp;"")</f>
        <v/>
      </c>
      <c r="N70" s="8" t="str">
        <f>IF($B70="","",IFERROR(INDEX(Modelos!$H$2:$H$301,MATCH($B70,Modelos!$C$2:$C$301,0)),""))</f>
        <v/>
      </c>
      <c r="O70" s="8" t="str">
        <f>IF($B70="","",IFERROR(INDEX(Modelos!$I$2:$I$301,MATCH($B70,Modelos!$C$2:$C$301,0)),""))</f>
        <v/>
      </c>
      <c r="P70" s="8" t="str">
        <f>IF($B70="","",IFERROR(INDEX(Modelos!$J$2:$J$301,MATCH($B70,Modelos!$C$2:$C$301,0)),""))</f>
        <v/>
      </c>
      <c r="Q70" s="7" t="str">
        <f>IFERROR(INDEX(Diccionarios!$B$2:$B$201,MATCH($A70,Diccionarios!$D$2:$D$201,0))&amp;"","")</f>
        <v/>
      </c>
      <c r="R70" s="7" t="str">
        <f>IFERROR(INDEX(Diccionarios!$C$2:$C$201,MATCH($A70,Diccionarios!$D$2:$D$201,0))&amp;"","")</f>
        <v/>
      </c>
      <c r="S70" s="7" t="str">
        <f>IFERROR(INDEX(Modelos!$K$2:$K$301,MATCH($B70,Modelos!$C$2:$C$301,0))&amp;"","")</f>
        <v/>
      </c>
      <c r="T70" s="7" t="str">
        <f>IFERROR(INDEX(Modelos!$L$2:$L$301,MATCH($B70,Modelos!$C$2:$C$301,0))&amp;"","")</f>
        <v/>
      </c>
    </row>
    <row r="71" spans="1:20" x14ac:dyDescent="0.25">
      <c r="A71" s="5"/>
      <c r="B71" s="5"/>
      <c r="C71" s="5"/>
      <c r="D71" s="6"/>
      <c r="E71" s="5"/>
      <c r="F71" s="7" t="str">
        <f>IF(AND(A71&lt;&gt;"",B71&lt;&gt;"",C71&lt;&gt;"",D71&lt;&gt;""),LEFT(A71,2)&amp;LEFT(B71,4)&amp;LEFT(C71,2)&amp;SUBSTITUTE(UPPER(D71),"Ú","U"),"")</f>
        <v/>
      </c>
      <c r="G71" s="7" t="str">
        <f>IFERROR(INDEX(Modelos!$B$2:$B$301,MATCH($B71,Modelos!$C$2:$C$301,0))&amp;"","")</f>
        <v/>
      </c>
      <c r="H71" s="7" t="str">
        <f>IFERROR(INDEX(Modelos!$D$2:$D$301,MATCH($B71,Modelos!$C$2:$C$301,0))&amp;"","")</f>
        <v/>
      </c>
      <c r="I71" s="7" t="str">
        <f>IFERROR(INDEX(Modelos!$E$2:$E$301,MATCH($B71,Modelos!$C$2:$C$301,0))&amp;"","")</f>
        <v/>
      </c>
      <c r="J71" s="7" t="str">
        <f>IFERROR(INDEX(Modelos!$F$2:$F$301,MATCH($B71,Modelos!$C$2:$C$301,0))&amp;"","")</f>
        <v/>
      </c>
      <c r="K71" s="7" t="str">
        <f>IFERROR(INDEX(Modelos!$G$2:$G$301,MATCH($B71,Modelos!$C$2:$C$301,0))&amp;"","")</f>
        <v/>
      </c>
      <c r="L71" s="7" t="str">
        <f>IFERROR(INDEX(Diccionarios!$G$2:$G$201,MATCH($C71,Diccionarios!$H$2:$H$201,0))&amp;"","")</f>
        <v/>
      </c>
      <c r="M71" s="7" t="str">
        <f>IF(D71="","",D71&amp;"")</f>
        <v/>
      </c>
      <c r="N71" s="8" t="str">
        <f>IF($B71="","",IFERROR(INDEX(Modelos!$H$2:$H$301,MATCH($B71,Modelos!$C$2:$C$301,0)),""))</f>
        <v/>
      </c>
      <c r="O71" s="8" t="str">
        <f>IF($B71="","",IFERROR(INDEX(Modelos!$I$2:$I$301,MATCH($B71,Modelos!$C$2:$C$301,0)),""))</f>
        <v/>
      </c>
      <c r="P71" s="8" t="str">
        <f>IF($B71="","",IFERROR(INDEX(Modelos!$J$2:$J$301,MATCH($B71,Modelos!$C$2:$C$301,0)),""))</f>
        <v/>
      </c>
      <c r="Q71" s="7" t="str">
        <f>IFERROR(INDEX(Diccionarios!$B$2:$B$201,MATCH($A71,Diccionarios!$D$2:$D$201,0))&amp;"","")</f>
        <v/>
      </c>
      <c r="R71" s="7" t="str">
        <f>IFERROR(INDEX(Diccionarios!$C$2:$C$201,MATCH($A71,Diccionarios!$D$2:$D$201,0))&amp;"","")</f>
        <v/>
      </c>
      <c r="S71" s="7" t="str">
        <f>IFERROR(INDEX(Modelos!$K$2:$K$301,MATCH($B71,Modelos!$C$2:$C$301,0))&amp;"","")</f>
        <v/>
      </c>
      <c r="T71" s="7" t="str">
        <f>IFERROR(INDEX(Modelos!$L$2:$L$301,MATCH($B71,Modelos!$C$2:$C$301,0))&amp;"","")</f>
        <v/>
      </c>
    </row>
    <row r="72" spans="1:20" x14ac:dyDescent="0.25">
      <c r="A72" s="5"/>
      <c r="B72" s="5"/>
      <c r="C72" s="5"/>
      <c r="D72" s="6"/>
      <c r="E72" s="5"/>
      <c r="F72" s="7" t="str">
        <f>IF(AND(A72&lt;&gt;"",B72&lt;&gt;"",C72&lt;&gt;"",D72&lt;&gt;""),LEFT(A72,2)&amp;LEFT(B72,4)&amp;LEFT(C72,2)&amp;SUBSTITUTE(UPPER(D72),"Ú","U"),"")</f>
        <v/>
      </c>
      <c r="G72" s="7" t="str">
        <f>IFERROR(INDEX(Modelos!$B$2:$B$301,MATCH($B72,Modelos!$C$2:$C$301,0))&amp;"","")</f>
        <v/>
      </c>
      <c r="H72" s="7" t="str">
        <f>IFERROR(INDEX(Modelos!$D$2:$D$301,MATCH($B72,Modelos!$C$2:$C$301,0))&amp;"","")</f>
        <v/>
      </c>
      <c r="I72" s="7" t="str">
        <f>IFERROR(INDEX(Modelos!$E$2:$E$301,MATCH($B72,Modelos!$C$2:$C$301,0))&amp;"","")</f>
        <v/>
      </c>
      <c r="J72" s="7" t="str">
        <f>IFERROR(INDEX(Modelos!$F$2:$F$301,MATCH($B72,Modelos!$C$2:$C$301,0))&amp;"","")</f>
        <v/>
      </c>
      <c r="K72" s="7" t="str">
        <f>IFERROR(INDEX(Modelos!$G$2:$G$301,MATCH($B72,Modelos!$C$2:$C$301,0))&amp;"","")</f>
        <v/>
      </c>
      <c r="L72" s="7" t="str">
        <f>IFERROR(INDEX(Diccionarios!$G$2:$G$201,MATCH($C72,Diccionarios!$H$2:$H$201,0))&amp;"","")</f>
        <v/>
      </c>
      <c r="M72" s="7" t="str">
        <f>IF(D72="","",D72&amp;"")</f>
        <v/>
      </c>
      <c r="N72" s="8" t="str">
        <f>IF($B72="","",IFERROR(INDEX(Modelos!$H$2:$H$301,MATCH($B72,Modelos!$C$2:$C$301,0)),""))</f>
        <v/>
      </c>
      <c r="O72" s="8" t="str">
        <f>IF($B72="","",IFERROR(INDEX(Modelos!$I$2:$I$301,MATCH($B72,Modelos!$C$2:$C$301,0)),""))</f>
        <v/>
      </c>
      <c r="P72" s="8" t="str">
        <f>IF($B72="","",IFERROR(INDEX(Modelos!$J$2:$J$301,MATCH($B72,Modelos!$C$2:$C$301,0)),""))</f>
        <v/>
      </c>
      <c r="Q72" s="7" t="str">
        <f>IFERROR(INDEX(Diccionarios!$B$2:$B$201,MATCH($A72,Diccionarios!$D$2:$D$201,0))&amp;"","")</f>
        <v/>
      </c>
      <c r="R72" s="7" t="str">
        <f>IFERROR(INDEX(Diccionarios!$C$2:$C$201,MATCH($A72,Diccionarios!$D$2:$D$201,0))&amp;"","")</f>
        <v/>
      </c>
      <c r="S72" s="7" t="str">
        <f>IFERROR(INDEX(Modelos!$K$2:$K$301,MATCH($B72,Modelos!$C$2:$C$301,0))&amp;"","")</f>
        <v/>
      </c>
      <c r="T72" s="7" t="str">
        <f>IFERROR(INDEX(Modelos!$L$2:$L$301,MATCH($B72,Modelos!$C$2:$C$301,0))&amp;"","")</f>
        <v/>
      </c>
    </row>
    <row r="73" spans="1:20" x14ac:dyDescent="0.25">
      <c r="A73" s="5"/>
      <c r="B73" s="5"/>
      <c r="C73" s="5"/>
      <c r="D73" s="6"/>
      <c r="E73" s="5"/>
      <c r="F73" s="7" t="str">
        <f>IF(AND(A73&lt;&gt;"",B73&lt;&gt;"",C73&lt;&gt;"",D73&lt;&gt;""),LEFT(A73,2)&amp;LEFT(B73,4)&amp;LEFT(C73,2)&amp;SUBSTITUTE(UPPER(D73),"Ú","U"),"")</f>
        <v/>
      </c>
      <c r="G73" s="7" t="str">
        <f>IFERROR(INDEX(Modelos!$B$2:$B$301,MATCH($B73,Modelos!$C$2:$C$301,0))&amp;"","")</f>
        <v/>
      </c>
      <c r="H73" s="7" t="str">
        <f>IFERROR(INDEX(Modelos!$D$2:$D$301,MATCH($B73,Modelos!$C$2:$C$301,0))&amp;"","")</f>
        <v/>
      </c>
      <c r="I73" s="7" t="str">
        <f>IFERROR(INDEX(Modelos!$E$2:$E$301,MATCH($B73,Modelos!$C$2:$C$301,0))&amp;"","")</f>
        <v/>
      </c>
      <c r="J73" s="7" t="str">
        <f>IFERROR(INDEX(Modelos!$F$2:$F$301,MATCH($B73,Modelos!$C$2:$C$301,0))&amp;"","")</f>
        <v/>
      </c>
      <c r="K73" s="7" t="str">
        <f>IFERROR(INDEX(Modelos!$G$2:$G$301,MATCH($B73,Modelos!$C$2:$C$301,0))&amp;"","")</f>
        <v/>
      </c>
      <c r="L73" s="7" t="str">
        <f>IFERROR(INDEX(Diccionarios!$G$2:$G$201,MATCH($C73,Diccionarios!$H$2:$H$201,0))&amp;"","")</f>
        <v/>
      </c>
      <c r="M73" s="7" t="str">
        <f>IF(D73="","",D73&amp;"")</f>
        <v/>
      </c>
      <c r="N73" s="8" t="str">
        <f>IF($B73="","",IFERROR(INDEX(Modelos!$H$2:$H$301,MATCH($B73,Modelos!$C$2:$C$301,0)),""))</f>
        <v/>
      </c>
      <c r="O73" s="8" t="str">
        <f>IF($B73="","",IFERROR(INDEX(Modelos!$I$2:$I$301,MATCH($B73,Modelos!$C$2:$C$301,0)),""))</f>
        <v/>
      </c>
      <c r="P73" s="8" t="str">
        <f>IF($B73="","",IFERROR(INDEX(Modelos!$J$2:$J$301,MATCH($B73,Modelos!$C$2:$C$301,0)),""))</f>
        <v/>
      </c>
      <c r="Q73" s="7" t="str">
        <f>IFERROR(INDEX(Diccionarios!$B$2:$B$201,MATCH($A73,Diccionarios!$D$2:$D$201,0))&amp;"","")</f>
        <v/>
      </c>
      <c r="R73" s="7" t="str">
        <f>IFERROR(INDEX(Diccionarios!$C$2:$C$201,MATCH($A73,Diccionarios!$D$2:$D$201,0))&amp;"","")</f>
        <v/>
      </c>
      <c r="S73" s="7" t="str">
        <f>IFERROR(INDEX(Modelos!$K$2:$K$301,MATCH($B73,Modelos!$C$2:$C$301,0))&amp;"","")</f>
        <v/>
      </c>
      <c r="T73" s="7" t="str">
        <f>IFERROR(INDEX(Modelos!$L$2:$L$301,MATCH($B73,Modelos!$C$2:$C$301,0))&amp;"","")</f>
        <v/>
      </c>
    </row>
    <row r="74" spans="1:20" x14ac:dyDescent="0.25">
      <c r="A74" s="5"/>
      <c r="B74" s="5"/>
      <c r="C74" s="5"/>
      <c r="D74" s="6"/>
      <c r="E74" s="5"/>
      <c r="F74" s="7" t="str">
        <f>IF(AND(A74&lt;&gt;"",B74&lt;&gt;"",C74&lt;&gt;"",D74&lt;&gt;""),LEFT(A74,2)&amp;LEFT(B74,4)&amp;LEFT(C74,2)&amp;SUBSTITUTE(UPPER(D74),"Ú","U"),"")</f>
        <v/>
      </c>
      <c r="G74" s="7" t="str">
        <f>IFERROR(INDEX(Modelos!$B$2:$B$301,MATCH($B74,Modelos!$C$2:$C$301,0))&amp;"","")</f>
        <v/>
      </c>
      <c r="H74" s="7" t="str">
        <f>IFERROR(INDEX(Modelos!$D$2:$D$301,MATCH($B74,Modelos!$C$2:$C$301,0))&amp;"","")</f>
        <v/>
      </c>
      <c r="I74" s="7" t="str">
        <f>IFERROR(INDEX(Modelos!$E$2:$E$301,MATCH($B74,Modelos!$C$2:$C$301,0))&amp;"","")</f>
        <v/>
      </c>
      <c r="J74" s="7" t="str">
        <f>IFERROR(INDEX(Modelos!$F$2:$F$301,MATCH($B74,Modelos!$C$2:$C$301,0))&amp;"","")</f>
        <v/>
      </c>
      <c r="K74" s="7" t="str">
        <f>IFERROR(INDEX(Modelos!$G$2:$G$301,MATCH($B74,Modelos!$C$2:$C$301,0))&amp;"","")</f>
        <v/>
      </c>
      <c r="L74" s="7" t="str">
        <f>IFERROR(INDEX(Diccionarios!$G$2:$G$201,MATCH($C74,Diccionarios!$H$2:$H$201,0))&amp;"","")</f>
        <v/>
      </c>
      <c r="M74" s="7" t="str">
        <f>IF(D74="","",D74&amp;"")</f>
        <v/>
      </c>
      <c r="N74" s="8" t="str">
        <f>IF($B74="","",IFERROR(INDEX(Modelos!$H$2:$H$301,MATCH($B74,Modelos!$C$2:$C$301,0)),""))</f>
        <v/>
      </c>
      <c r="O74" s="8" t="str">
        <f>IF($B74="","",IFERROR(INDEX(Modelos!$I$2:$I$301,MATCH($B74,Modelos!$C$2:$C$301,0)),""))</f>
        <v/>
      </c>
      <c r="P74" s="8" t="str">
        <f>IF($B74="","",IFERROR(INDEX(Modelos!$J$2:$J$301,MATCH($B74,Modelos!$C$2:$C$301,0)),""))</f>
        <v/>
      </c>
      <c r="Q74" s="7" t="str">
        <f>IFERROR(INDEX(Diccionarios!$B$2:$B$201,MATCH($A74,Diccionarios!$D$2:$D$201,0))&amp;"","")</f>
        <v/>
      </c>
      <c r="R74" s="7" t="str">
        <f>IFERROR(INDEX(Diccionarios!$C$2:$C$201,MATCH($A74,Diccionarios!$D$2:$D$201,0))&amp;"","")</f>
        <v/>
      </c>
      <c r="S74" s="7" t="str">
        <f>IFERROR(INDEX(Modelos!$K$2:$K$301,MATCH($B74,Modelos!$C$2:$C$301,0))&amp;"","")</f>
        <v/>
      </c>
      <c r="T74" s="7" t="str">
        <f>IFERROR(INDEX(Modelos!$L$2:$L$301,MATCH($B74,Modelos!$C$2:$C$301,0))&amp;"","")</f>
        <v/>
      </c>
    </row>
    <row r="75" spans="1:20" x14ac:dyDescent="0.25">
      <c r="A75" s="5"/>
      <c r="B75" s="5"/>
      <c r="C75" s="5"/>
      <c r="D75" s="6"/>
      <c r="E75" s="5"/>
      <c r="F75" s="7" t="str">
        <f>IF(AND(A75&lt;&gt;"",B75&lt;&gt;"",C75&lt;&gt;"",D75&lt;&gt;""),LEFT(A75,2)&amp;LEFT(B75,4)&amp;LEFT(C75,2)&amp;SUBSTITUTE(UPPER(D75),"Ú","U"),"")</f>
        <v/>
      </c>
      <c r="G75" s="7" t="str">
        <f>IFERROR(INDEX(Modelos!$B$2:$B$301,MATCH($B75,Modelos!$C$2:$C$301,0))&amp;"","")</f>
        <v/>
      </c>
      <c r="H75" s="7" t="str">
        <f>IFERROR(INDEX(Modelos!$D$2:$D$301,MATCH($B75,Modelos!$C$2:$C$301,0))&amp;"","")</f>
        <v/>
      </c>
      <c r="I75" s="7" t="str">
        <f>IFERROR(INDEX(Modelos!$E$2:$E$301,MATCH($B75,Modelos!$C$2:$C$301,0))&amp;"","")</f>
        <v/>
      </c>
      <c r="J75" s="7" t="str">
        <f>IFERROR(INDEX(Modelos!$F$2:$F$301,MATCH($B75,Modelos!$C$2:$C$301,0))&amp;"","")</f>
        <v/>
      </c>
      <c r="K75" s="7" t="str">
        <f>IFERROR(INDEX(Modelos!$G$2:$G$301,MATCH($B75,Modelos!$C$2:$C$301,0))&amp;"","")</f>
        <v/>
      </c>
      <c r="L75" s="7" t="str">
        <f>IFERROR(INDEX(Diccionarios!$G$2:$G$201,MATCH($C75,Diccionarios!$H$2:$H$201,0))&amp;"","")</f>
        <v/>
      </c>
      <c r="M75" s="7" t="str">
        <f>IF(D75="","",D75&amp;"")</f>
        <v/>
      </c>
      <c r="N75" s="8" t="str">
        <f>IF($B75="","",IFERROR(INDEX(Modelos!$H$2:$H$301,MATCH($B75,Modelos!$C$2:$C$301,0)),""))</f>
        <v/>
      </c>
      <c r="O75" s="8" t="str">
        <f>IF($B75="","",IFERROR(INDEX(Modelos!$I$2:$I$301,MATCH($B75,Modelos!$C$2:$C$301,0)),""))</f>
        <v/>
      </c>
      <c r="P75" s="8" t="str">
        <f>IF($B75="","",IFERROR(INDEX(Modelos!$J$2:$J$301,MATCH($B75,Modelos!$C$2:$C$301,0)),""))</f>
        <v/>
      </c>
      <c r="Q75" s="7" t="str">
        <f>IFERROR(INDEX(Diccionarios!$B$2:$B$201,MATCH($A75,Diccionarios!$D$2:$D$201,0))&amp;"","")</f>
        <v/>
      </c>
      <c r="R75" s="7" t="str">
        <f>IFERROR(INDEX(Diccionarios!$C$2:$C$201,MATCH($A75,Diccionarios!$D$2:$D$201,0))&amp;"","")</f>
        <v/>
      </c>
      <c r="S75" s="7" t="str">
        <f>IFERROR(INDEX(Modelos!$K$2:$K$301,MATCH($B75,Modelos!$C$2:$C$301,0))&amp;"","")</f>
        <v/>
      </c>
      <c r="T75" s="7" t="str">
        <f>IFERROR(INDEX(Modelos!$L$2:$L$301,MATCH($B75,Modelos!$C$2:$C$301,0))&amp;"","")</f>
        <v/>
      </c>
    </row>
    <row r="76" spans="1:20" x14ac:dyDescent="0.25">
      <c r="A76" s="5"/>
      <c r="B76" s="5"/>
      <c r="C76" s="5"/>
      <c r="D76" s="6"/>
      <c r="E76" s="5"/>
      <c r="F76" s="7" t="str">
        <f>IF(AND(A76&lt;&gt;"",B76&lt;&gt;"",C76&lt;&gt;"",D76&lt;&gt;""),LEFT(A76,2)&amp;LEFT(B76,4)&amp;LEFT(C76,2)&amp;SUBSTITUTE(UPPER(D76),"Ú","U"),"")</f>
        <v/>
      </c>
      <c r="G76" s="7" t="str">
        <f>IFERROR(INDEX(Modelos!$B$2:$B$301,MATCH($B76,Modelos!$C$2:$C$301,0))&amp;"","")</f>
        <v/>
      </c>
      <c r="H76" s="7" t="str">
        <f>IFERROR(INDEX(Modelos!$D$2:$D$301,MATCH($B76,Modelos!$C$2:$C$301,0))&amp;"","")</f>
        <v/>
      </c>
      <c r="I76" s="7" t="str">
        <f>IFERROR(INDEX(Modelos!$E$2:$E$301,MATCH($B76,Modelos!$C$2:$C$301,0))&amp;"","")</f>
        <v/>
      </c>
      <c r="J76" s="7" t="str">
        <f>IFERROR(INDEX(Modelos!$F$2:$F$301,MATCH($B76,Modelos!$C$2:$C$301,0))&amp;"","")</f>
        <v/>
      </c>
      <c r="K76" s="7" t="str">
        <f>IFERROR(INDEX(Modelos!$G$2:$G$301,MATCH($B76,Modelos!$C$2:$C$301,0))&amp;"","")</f>
        <v/>
      </c>
      <c r="L76" s="7" t="str">
        <f>IFERROR(INDEX(Diccionarios!$G$2:$G$201,MATCH($C76,Diccionarios!$H$2:$H$201,0))&amp;"","")</f>
        <v/>
      </c>
      <c r="M76" s="7" t="str">
        <f>IF(D76="","",D76&amp;"")</f>
        <v/>
      </c>
      <c r="N76" s="8" t="str">
        <f>IF($B76="","",IFERROR(INDEX(Modelos!$H$2:$H$301,MATCH($B76,Modelos!$C$2:$C$301,0)),""))</f>
        <v/>
      </c>
      <c r="O76" s="8" t="str">
        <f>IF($B76="","",IFERROR(INDEX(Modelos!$I$2:$I$301,MATCH($B76,Modelos!$C$2:$C$301,0)),""))</f>
        <v/>
      </c>
      <c r="P76" s="8" t="str">
        <f>IF($B76="","",IFERROR(INDEX(Modelos!$J$2:$J$301,MATCH($B76,Modelos!$C$2:$C$301,0)),""))</f>
        <v/>
      </c>
      <c r="Q76" s="7" t="str">
        <f>IFERROR(INDEX(Diccionarios!$B$2:$B$201,MATCH($A76,Diccionarios!$D$2:$D$201,0))&amp;"","")</f>
        <v/>
      </c>
      <c r="R76" s="7" t="str">
        <f>IFERROR(INDEX(Diccionarios!$C$2:$C$201,MATCH($A76,Diccionarios!$D$2:$D$201,0))&amp;"","")</f>
        <v/>
      </c>
      <c r="S76" s="7" t="str">
        <f>IFERROR(INDEX(Modelos!$K$2:$K$301,MATCH($B76,Modelos!$C$2:$C$301,0))&amp;"","")</f>
        <v/>
      </c>
      <c r="T76" s="7" t="str">
        <f>IFERROR(INDEX(Modelos!$L$2:$L$301,MATCH($B76,Modelos!$C$2:$C$301,0))&amp;"","")</f>
        <v/>
      </c>
    </row>
    <row r="77" spans="1:20" x14ac:dyDescent="0.25">
      <c r="A77" s="5"/>
      <c r="B77" s="5"/>
      <c r="C77" s="5"/>
      <c r="D77" s="6"/>
      <c r="E77" s="5"/>
      <c r="F77" s="7" t="str">
        <f>IF(AND(A77&lt;&gt;"",B77&lt;&gt;"",C77&lt;&gt;"",D77&lt;&gt;""),LEFT(A77,2)&amp;LEFT(B77,4)&amp;LEFT(C77,2)&amp;SUBSTITUTE(UPPER(D77),"Ú","U"),"")</f>
        <v/>
      </c>
      <c r="G77" s="7" t="str">
        <f>IFERROR(INDEX(Modelos!$B$2:$B$301,MATCH($B77,Modelos!$C$2:$C$301,0))&amp;"","")</f>
        <v/>
      </c>
      <c r="H77" s="7" t="str">
        <f>IFERROR(INDEX(Modelos!$D$2:$D$301,MATCH($B77,Modelos!$C$2:$C$301,0))&amp;"","")</f>
        <v/>
      </c>
      <c r="I77" s="7" t="str">
        <f>IFERROR(INDEX(Modelos!$E$2:$E$301,MATCH($B77,Modelos!$C$2:$C$301,0))&amp;"","")</f>
        <v/>
      </c>
      <c r="J77" s="7" t="str">
        <f>IFERROR(INDEX(Modelos!$F$2:$F$301,MATCH($B77,Modelos!$C$2:$C$301,0))&amp;"","")</f>
        <v/>
      </c>
      <c r="K77" s="7" t="str">
        <f>IFERROR(INDEX(Modelos!$G$2:$G$301,MATCH($B77,Modelos!$C$2:$C$301,0))&amp;"","")</f>
        <v/>
      </c>
      <c r="L77" s="7" t="str">
        <f>IFERROR(INDEX(Diccionarios!$G$2:$G$201,MATCH($C77,Diccionarios!$H$2:$H$201,0))&amp;"","")</f>
        <v/>
      </c>
      <c r="M77" s="7" t="str">
        <f>IF(D77="","",D77&amp;"")</f>
        <v/>
      </c>
      <c r="N77" s="8" t="str">
        <f>IF($B77="","",IFERROR(INDEX(Modelos!$H$2:$H$301,MATCH($B77,Modelos!$C$2:$C$301,0)),""))</f>
        <v/>
      </c>
      <c r="O77" s="8" t="str">
        <f>IF($B77="","",IFERROR(INDEX(Modelos!$I$2:$I$301,MATCH($B77,Modelos!$C$2:$C$301,0)),""))</f>
        <v/>
      </c>
      <c r="P77" s="8" t="str">
        <f>IF($B77="","",IFERROR(INDEX(Modelos!$J$2:$J$301,MATCH($B77,Modelos!$C$2:$C$301,0)),""))</f>
        <v/>
      </c>
      <c r="Q77" s="7" t="str">
        <f>IFERROR(INDEX(Diccionarios!$B$2:$B$201,MATCH($A77,Diccionarios!$D$2:$D$201,0))&amp;"","")</f>
        <v/>
      </c>
      <c r="R77" s="7" t="str">
        <f>IFERROR(INDEX(Diccionarios!$C$2:$C$201,MATCH($A77,Diccionarios!$D$2:$D$201,0))&amp;"","")</f>
        <v/>
      </c>
      <c r="S77" s="7" t="str">
        <f>IFERROR(INDEX(Modelos!$K$2:$K$301,MATCH($B77,Modelos!$C$2:$C$301,0))&amp;"","")</f>
        <v/>
      </c>
      <c r="T77" s="7" t="str">
        <f>IFERROR(INDEX(Modelos!$L$2:$L$301,MATCH($B77,Modelos!$C$2:$C$301,0))&amp;"","")</f>
        <v/>
      </c>
    </row>
    <row r="78" spans="1:20" x14ac:dyDescent="0.25">
      <c r="A78" s="5"/>
      <c r="B78" s="5"/>
      <c r="C78" s="5"/>
      <c r="D78" s="6"/>
      <c r="E78" s="5"/>
      <c r="F78" s="7" t="str">
        <f>IF(AND(A78&lt;&gt;"",B78&lt;&gt;"",C78&lt;&gt;"",D78&lt;&gt;""),LEFT(A78,2)&amp;LEFT(B78,4)&amp;LEFT(C78,2)&amp;SUBSTITUTE(UPPER(D78),"Ú","U"),"")</f>
        <v/>
      </c>
      <c r="G78" s="7" t="str">
        <f>IFERROR(INDEX(Modelos!$B$2:$B$301,MATCH($B78,Modelos!$C$2:$C$301,0))&amp;"","")</f>
        <v/>
      </c>
      <c r="H78" s="7" t="str">
        <f>IFERROR(INDEX(Modelos!$D$2:$D$301,MATCH($B78,Modelos!$C$2:$C$301,0))&amp;"","")</f>
        <v/>
      </c>
      <c r="I78" s="7" t="str">
        <f>IFERROR(INDEX(Modelos!$E$2:$E$301,MATCH($B78,Modelos!$C$2:$C$301,0))&amp;"","")</f>
        <v/>
      </c>
      <c r="J78" s="7" t="str">
        <f>IFERROR(INDEX(Modelos!$F$2:$F$301,MATCH($B78,Modelos!$C$2:$C$301,0))&amp;"","")</f>
        <v/>
      </c>
      <c r="K78" s="7" t="str">
        <f>IFERROR(INDEX(Modelos!$G$2:$G$301,MATCH($B78,Modelos!$C$2:$C$301,0))&amp;"","")</f>
        <v/>
      </c>
      <c r="L78" s="7" t="str">
        <f>IFERROR(INDEX(Diccionarios!$G$2:$G$201,MATCH($C78,Diccionarios!$H$2:$H$201,0))&amp;"","")</f>
        <v/>
      </c>
      <c r="M78" s="7" t="str">
        <f>IF(D78="","",D78&amp;"")</f>
        <v/>
      </c>
      <c r="N78" s="8" t="str">
        <f>IF($B78="","",IFERROR(INDEX(Modelos!$H$2:$H$301,MATCH($B78,Modelos!$C$2:$C$301,0)),""))</f>
        <v/>
      </c>
      <c r="O78" s="8" t="str">
        <f>IF($B78="","",IFERROR(INDEX(Modelos!$I$2:$I$301,MATCH($B78,Modelos!$C$2:$C$301,0)),""))</f>
        <v/>
      </c>
      <c r="P78" s="8" t="str">
        <f>IF($B78="","",IFERROR(INDEX(Modelos!$J$2:$J$301,MATCH($B78,Modelos!$C$2:$C$301,0)),""))</f>
        <v/>
      </c>
      <c r="Q78" s="7" t="str">
        <f>IFERROR(INDEX(Diccionarios!$B$2:$B$201,MATCH($A78,Diccionarios!$D$2:$D$201,0))&amp;"","")</f>
        <v/>
      </c>
      <c r="R78" s="7" t="str">
        <f>IFERROR(INDEX(Diccionarios!$C$2:$C$201,MATCH($A78,Diccionarios!$D$2:$D$201,0))&amp;"","")</f>
        <v/>
      </c>
      <c r="S78" s="7" t="str">
        <f>IFERROR(INDEX(Modelos!$K$2:$K$301,MATCH($B78,Modelos!$C$2:$C$301,0))&amp;"","")</f>
        <v/>
      </c>
      <c r="T78" s="7" t="str">
        <f>IFERROR(INDEX(Modelos!$L$2:$L$301,MATCH($B78,Modelos!$C$2:$C$301,0))&amp;"","")</f>
        <v/>
      </c>
    </row>
    <row r="79" spans="1:20" x14ac:dyDescent="0.25">
      <c r="A79" s="5"/>
      <c r="B79" s="5"/>
      <c r="C79" s="5"/>
      <c r="D79" s="6"/>
      <c r="E79" s="5"/>
      <c r="F79" s="7" t="str">
        <f>IF(AND(A79&lt;&gt;"",B79&lt;&gt;"",C79&lt;&gt;"",D79&lt;&gt;""),LEFT(A79,2)&amp;LEFT(B79,4)&amp;LEFT(C79,2)&amp;SUBSTITUTE(UPPER(D79),"Ú","U"),"")</f>
        <v/>
      </c>
      <c r="G79" s="7" t="str">
        <f>IFERROR(INDEX(Modelos!$B$2:$B$301,MATCH($B79,Modelos!$C$2:$C$301,0))&amp;"","")</f>
        <v/>
      </c>
      <c r="H79" s="7" t="str">
        <f>IFERROR(INDEX(Modelos!$D$2:$D$301,MATCH($B79,Modelos!$C$2:$C$301,0))&amp;"","")</f>
        <v/>
      </c>
      <c r="I79" s="7" t="str">
        <f>IFERROR(INDEX(Modelos!$E$2:$E$301,MATCH($B79,Modelos!$C$2:$C$301,0))&amp;"","")</f>
        <v/>
      </c>
      <c r="J79" s="7" t="str">
        <f>IFERROR(INDEX(Modelos!$F$2:$F$301,MATCH($B79,Modelos!$C$2:$C$301,0))&amp;"","")</f>
        <v/>
      </c>
      <c r="K79" s="7" t="str">
        <f>IFERROR(INDEX(Modelos!$G$2:$G$301,MATCH($B79,Modelos!$C$2:$C$301,0))&amp;"","")</f>
        <v/>
      </c>
      <c r="L79" s="7" t="str">
        <f>IFERROR(INDEX(Diccionarios!$G$2:$G$201,MATCH($C79,Diccionarios!$H$2:$H$201,0))&amp;"","")</f>
        <v/>
      </c>
      <c r="M79" s="7" t="str">
        <f>IF(D79="","",D79&amp;"")</f>
        <v/>
      </c>
      <c r="N79" s="8" t="str">
        <f>IF($B79="","",IFERROR(INDEX(Modelos!$H$2:$H$301,MATCH($B79,Modelos!$C$2:$C$301,0)),""))</f>
        <v/>
      </c>
      <c r="O79" s="8" t="str">
        <f>IF($B79="","",IFERROR(INDEX(Modelos!$I$2:$I$301,MATCH($B79,Modelos!$C$2:$C$301,0)),""))</f>
        <v/>
      </c>
      <c r="P79" s="8" t="str">
        <f>IF($B79="","",IFERROR(INDEX(Modelos!$J$2:$J$301,MATCH($B79,Modelos!$C$2:$C$301,0)),""))</f>
        <v/>
      </c>
      <c r="Q79" s="7" t="str">
        <f>IFERROR(INDEX(Diccionarios!$B$2:$B$201,MATCH($A79,Diccionarios!$D$2:$D$201,0))&amp;"","")</f>
        <v/>
      </c>
      <c r="R79" s="7" t="str">
        <f>IFERROR(INDEX(Diccionarios!$C$2:$C$201,MATCH($A79,Diccionarios!$D$2:$D$201,0))&amp;"","")</f>
        <v/>
      </c>
      <c r="S79" s="7" t="str">
        <f>IFERROR(INDEX(Modelos!$K$2:$K$301,MATCH($B79,Modelos!$C$2:$C$301,0))&amp;"","")</f>
        <v/>
      </c>
      <c r="T79" s="7" t="str">
        <f>IFERROR(INDEX(Modelos!$L$2:$L$301,MATCH($B79,Modelos!$C$2:$C$301,0))&amp;"","")</f>
        <v/>
      </c>
    </row>
    <row r="80" spans="1:20" x14ac:dyDescent="0.25">
      <c r="A80" s="5"/>
      <c r="B80" s="5"/>
      <c r="C80" s="5"/>
      <c r="D80" s="6"/>
      <c r="E80" s="5"/>
      <c r="F80" s="7" t="str">
        <f>IF(AND(A80&lt;&gt;"",B80&lt;&gt;"",C80&lt;&gt;"",D80&lt;&gt;""),LEFT(A80,2)&amp;LEFT(B80,4)&amp;LEFT(C80,2)&amp;SUBSTITUTE(UPPER(D80),"Ú","U"),"")</f>
        <v/>
      </c>
      <c r="G80" s="7" t="str">
        <f>IFERROR(INDEX(Modelos!$B$2:$B$301,MATCH($B80,Modelos!$C$2:$C$301,0))&amp;"","")</f>
        <v/>
      </c>
      <c r="H80" s="7" t="str">
        <f>IFERROR(INDEX(Modelos!$D$2:$D$301,MATCH($B80,Modelos!$C$2:$C$301,0))&amp;"","")</f>
        <v/>
      </c>
      <c r="I80" s="7" t="str">
        <f>IFERROR(INDEX(Modelos!$E$2:$E$301,MATCH($B80,Modelos!$C$2:$C$301,0))&amp;"","")</f>
        <v/>
      </c>
      <c r="J80" s="7" t="str">
        <f>IFERROR(INDEX(Modelos!$F$2:$F$301,MATCH($B80,Modelos!$C$2:$C$301,0))&amp;"","")</f>
        <v/>
      </c>
      <c r="K80" s="7" t="str">
        <f>IFERROR(INDEX(Modelos!$G$2:$G$301,MATCH($B80,Modelos!$C$2:$C$301,0))&amp;"","")</f>
        <v/>
      </c>
      <c r="L80" s="7" t="str">
        <f>IFERROR(INDEX(Diccionarios!$G$2:$G$201,MATCH($C80,Diccionarios!$H$2:$H$201,0))&amp;"","")</f>
        <v/>
      </c>
      <c r="M80" s="7" t="str">
        <f>IF(D80="","",D80&amp;"")</f>
        <v/>
      </c>
      <c r="N80" s="8" t="str">
        <f>IF($B80="","",IFERROR(INDEX(Modelos!$H$2:$H$301,MATCH($B80,Modelos!$C$2:$C$301,0)),""))</f>
        <v/>
      </c>
      <c r="O80" s="8" t="str">
        <f>IF($B80="","",IFERROR(INDEX(Modelos!$I$2:$I$301,MATCH($B80,Modelos!$C$2:$C$301,0)),""))</f>
        <v/>
      </c>
      <c r="P80" s="8" t="str">
        <f>IF($B80="","",IFERROR(INDEX(Modelos!$J$2:$J$301,MATCH($B80,Modelos!$C$2:$C$301,0)),""))</f>
        <v/>
      </c>
      <c r="Q80" s="7" t="str">
        <f>IFERROR(INDEX(Diccionarios!$B$2:$B$201,MATCH($A80,Diccionarios!$D$2:$D$201,0))&amp;"","")</f>
        <v/>
      </c>
      <c r="R80" s="7" t="str">
        <f>IFERROR(INDEX(Diccionarios!$C$2:$C$201,MATCH($A80,Diccionarios!$D$2:$D$201,0))&amp;"","")</f>
        <v/>
      </c>
      <c r="S80" s="7" t="str">
        <f>IFERROR(INDEX(Modelos!$K$2:$K$301,MATCH($B80,Modelos!$C$2:$C$301,0))&amp;"","")</f>
        <v/>
      </c>
      <c r="T80" s="7" t="str">
        <f>IFERROR(INDEX(Modelos!$L$2:$L$301,MATCH($B80,Modelos!$C$2:$C$301,0))&amp;"","")</f>
        <v/>
      </c>
    </row>
    <row r="81" spans="1:20" x14ac:dyDescent="0.25">
      <c r="A81" s="5"/>
      <c r="B81" s="5"/>
      <c r="C81" s="5"/>
      <c r="D81" s="6"/>
      <c r="E81" s="5"/>
      <c r="F81" s="7" t="str">
        <f>IF(AND(A81&lt;&gt;"",B81&lt;&gt;"",C81&lt;&gt;"",D81&lt;&gt;""),LEFT(A81,2)&amp;LEFT(B81,4)&amp;LEFT(C81,2)&amp;SUBSTITUTE(UPPER(D81),"Ú","U"),"")</f>
        <v/>
      </c>
      <c r="G81" s="7" t="str">
        <f>IFERROR(INDEX(Modelos!$B$2:$B$301,MATCH($B81,Modelos!$C$2:$C$301,0))&amp;"","")</f>
        <v/>
      </c>
      <c r="H81" s="7" t="str">
        <f>IFERROR(INDEX(Modelos!$D$2:$D$301,MATCH($B81,Modelos!$C$2:$C$301,0))&amp;"","")</f>
        <v/>
      </c>
      <c r="I81" s="7" t="str">
        <f>IFERROR(INDEX(Modelos!$E$2:$E$301,MATCH($B81,Modelos!$C$2:$C$301,0))&amp;"","")</f>
        <v/>
      </c>
      <c r="J81" s="7" t="str">
        <f>IFERROR(INDEX(Modelos!$F$2:$F$301,MATCH($B81,Modelos!$C$2:$C$301,0))&amp;"","")</f>
        <v/>
      </c>
      <c r="K81" s="7" t="str">
        <f>IFERROR(INDEX(Modelos!$G$2:$G$301,MATCH($B81,Modelos!$C$2:$C$301,0))&amp;"","")</f>
        <v/>
      </c>
      <c r="L81" s="7" t="str">
        <f>IFERROR(INDEX(Diccionarios!$G$2:$G$201,MATCH($C81,Diccionarios!$H$2:$H$201,0))&amp;"","")</f>
        <v/>
      </c>
      <c r="M81" s="7" t="str">
        <f>IF(D81="","",D81&amp;"")</f>
        <v/>
      </c>
      <c r="N81" s="8" t="str">
        <f>IF($B81="","",IFERROR(INDEX(Modelos!$H$2:$H$301,MATCH($B81,Modelos!$C$2:$C$301,0)),""))</f>
        <v/>
      </c>
      <c r="O81" s="8" t="str">
        <f>IF($B81="","",IFERROR(INDEX(Modelos!$I$2:$I$301,MATCH($B81,Modelos!$C$2:$C$301,0)),""))</f>
        <v/>
      </c>
      <c r="P81" s="8" t="str">
        <f>IF($B81="","",IFERROR(INDEX(Modelos!$J$2:$J$301,MATCH($B81,Modelos!$C$2:$C$301,0)),""))</f>
        <v/>
      </c>
      <c r="Q81" s="7" t="str">
        <f>IFERROR(INDEX(Diccionarios!$B$2:$B$201,MATCH($A81,Diccionarios!$D$2:$D$201,0))&amp;"","")</f>
        <v/>
      </c>
      <c r="R81" s="7" t="str">
        <f>IFERROR(INDEX(Diccionarios!$C$2:$C$201,MATCH($A81,Diccionarios!$D$2:$D$201,0))&amp;"","")</f>
        <v/>
      </c>
      <c r="S81" s="7" t="str">
        <f>IFERROR(INDEX(Modelos!$K$2:$K$301,MATCH($B81,Modelos!$C$2:$C$301,0))&amp;"","")</f>
        <v/>
      </c>
      <c r="T81" s="7" t="str">
        <f>IFERROR(INDEX(Modelos!$L$2:$L$301,MATCH($B81,Modelos!$C$2:$C$301,0))&amp;"","")</f>
        <v/>
      </c>
    </row>
    <row r="82" spans="1:20" x14ac:dyDescent="0.25">
      <c r="A82" s="5"/>
      <c r="B82" s="5"/>
      <c r="C82" s="5"/>
      <c r="D82" s="6"/>
      <c r="E82" s="5"/>
      <c r="F82" s="7" t="str">
        <f>IF(AND(A82&lt;&gt;"",B82&lt;&gt;"",C82&lt;&gt;"",D82&lt;&gt;""),LEFT(A82,2)&amp;LEFT(B82,4)&amp;LEFT(C82,2)&amp;SUBSTITUTE(UPPER(D82),"Ú","U"),"")</f>
        <v/>
      </c>
      <c r="G82" s="7" t="str">
        <f>IFERROR(INDEX(Modelos!$B$2:$B$301,MATCH($B82,Modelos!$C$2:$C$301,0))&amp;"","")</f>
        <v/>
      </c>
      <c r="H82" s="7" t="str">
        <f>IFERROR(INDEX(Modelos!$D$2:$D$301,MATCH($B82,Modelos!$C$2:$C$301,0))&amp;"","")</f>
        <v/>
      </c>
      <c r="I82" s="7" t="str">
        <f>IFERROR(INDEX(Modelos!$E$2:$E$301,MATCH($B82,Modelos!$C$2:$C$301,0))&amp;"","")</f>
        <v/>
      </c>
      <c r="J82" s="7" t="str">
        <f>IFERROR(INDEX(Modelos!$F$2:$F$301,MATCH($B82,Modelos!$C$2:$C$301,0))&amp;"","")</f>
        <v/>
      </c>
      <c r="K82" s="7" t="str">
        <f>IFERROR(INDEX(Modelos!$G$2:$G$301,MATCH($B82,Modelos!$C$2:$C$301,0))&amp;"","")</f>
        <v/>
      </c>
      <c r="L82" s="7" t="str">
        <f>IFERROR(INDEX(Diccionarios!$G$2:$G$201,MATCH($C82,Diccionarios!$H$2:$H$201,0))&amp;"","")</f>
        <v/>
      </c>
      <c r="M82" s="7" t="str">
        <f>IF(D82="","",D82&amp;"")</f>
        <v/>
      </c>
      <c r="N82" s="8" t="str">
        <f>IF($B82="","",IFERROR(INDEX(Modelos!$H$2:$H$301,MATCH($B82,Modelos!$C$2:$C$301,0)),""))</f>
        <v/>
      </c>
      <c r="O82" s="8" t="str">
        <f>IF($B82="","",IFERROR(INDEX(Modelos!$I$2:$I$301,MATCH($B82,Modelos!$C$2:$C$301,0)),""))</f>
        <v/>
      </c>
      <c r="P82" s="8" t="str">
        <f>IF($B82="","",IFERROR(INDEX(Modelos!$J$2:$J$301,MATCH($B82,Modelos!$C$2:$C$301,0)),""))</f>
        <v/>
      </c>
      <c r="Q82" s="7" t="str">
        <f>IFERROR(INDEX(Diccionarios!$B$2:$B$201,MATCH($A82,Diccionarios!$D$2:$D$201,0))&amp;"","")</f>
        <v/>
      </c>
      <c r="R82" s="7" t="str">
        <f>IFERROR(INDEX(Diccionarios!$C$2:$C$201,MATCH($A82,Diccionarios!$D$2:$D$201,0))&amp;"","")</f>
        <v/>
      </c>
      <c r="S82" s="7" t="str">
        <f>IFERROR(INDEX(Modelos!$K$2:$K$301,MATCH($B82,Modelos!$C$2:$C$301,0))&amp;"","")</f>
        <v/>
      </c>
      <c r="T82" s="7" t="str">
        <f>IFERROR(INDEX(Modelos!$L$2:$L$301,MATCH($B82,Modelos!$C$2:$C$301,0))&amp;"","")</f>
        <v/>
      </c>
    </row>
    <row r="83" spans="1:20" x14ac:dyDescent="0.25">
      <c r="A83" s="5"/>
      <c r="B83" s="5"/>
      <c r="C83" s="5"/>
      <c r="D83" s="6"/>
      <c r="E83" s="5"/>
      <c r="F83" s="7" t="str">
        <f>IF(AND(A83&lt;&gt;"",B83&lt;&gt;"",C83&lt;&gt;"",D83&lt;&gt;""),LEFT(A83,2)&amp;LEFT(B83,4)&amp;LEFT(C83,2)&amp;SUBSTITUTE(UPPER(D83),"Ú","U"),"")</f>
        <v/>
      </c>
      <c r="G83" s="7" t="str">
        <f>IFERROR(INDEX(Modelos!$B$2:$B$301,MATCH($B83,Modelos!$C$2:$C$301,0))&amp;"","")</f>
        <v/>
      </c>
      <c r="H83" s="7" t="str">
        <f>IFERROR(INDEX(Modelos!$D$2:$D$301,MATCH($B83,Modelos!$C$2:$C$301,0))&amp;"","")</f>
        <v/>
      </c>
      <c r="I83" s="7" t="str">
        <f>IFERROR(INDEX(Modelos!$E$2:$E$301,MATCH($B83,Modelos!$C$2:$C$301,0))&amp;"","")</f>
        <v/>
      </c>
      <c r="J83" s="7" t="str">
        <f>IFERROR(INDEX(Modelos!$F$2:$F$301,MATCH($B83,Modelos!$C$2:$C$301,0))&amp;"","")</f>
        <v/>
      </c>
      <c r="K83" s="7" t="str">
        <f>IFERROR(INDEX(Modelos!$G$2:$G$301,MATCH($B83,Modelos!$C$2:$C$301,0))&amp;"","")</f>
        <v/>
      </c>
      <c r="L83" s="7" t="str">
        <f>IFERROR(INDEX(Diccionarios!$G$2:$G$201,MATCH($C83,Diccionarios!$H$2:$H$201,0))&amp;"","")</f>
        <v/>
      </c>
      <c r="M83" s="7" t="str">
        <f>IF(D83="","",D83&amp;"")</f>
        <v/>
      </c>
      <c r="N83" s="8" t="str">
        <f>IF($B83="","",IFERROR(INDEX(Modelos!$H$2:$H$301,MATCH($B83,Modelos!$C$2:$C$301,0)),""))</f>
        <v/>
      </c>
      <c r="O83" s="8" t="str">
        <f>IF($B83="","",IFERROR(INDEX(Modelos!$I$2:$I$301,MATCH($B83,Modelos!$C$2:$C$301,0)),""))</f>
        <v/>
      </c>
      <c r="P83" s="8" t="str">
        <f>IF($B83="","",IFERROR(INDEX(Modelos!$J$2:$J$301,MATCH($B83,Modelos!$C$2:$C$301,0)),""))</f>
        <v/>
      </c>
      <c r="Q83" s="7" t="str">
        <f>IFERROR(INDEX(Diccionarios!$B$2:$B$201,MATCH($A83,Diccionarios!$D$2:$D$201,0))&amp;"","")</f>
        <v/>
      </c>
      <c r="R83" s="7" t="str">
        <f>IFERROR(INDEX(Diccionarios!$C$2:$C$201,MATCH($A83,Diccionarios!$D$2:$D$201,0))&amp;"","")</f>
        <v/>
      </c>
      <c r="S83" s="7" t="str">
        <f>IFERROR(INDEX(Modelos!$K$2:$K$301,MATCH($B83,Modelos!$C$2:$C$301,0))&amp;"","")</f>
        <v/>
      </c>
      <c r="T83" s="7" t="str">
        <f>IFERROR(INDEX(Modelos!$L$2:$L$301,MATCH($B83,Modelos!$C$2:$C$301,0))&amp;"","")</f>
        <v/>
      </c>
    </row>
    <row r="84" spans="1:20" x14ac:dyDescent="0.25">
      <c r="A84" s="5"/>
      <c r="B84" s="5"/>
      <c r="C84" s="5"/>
      <c r="D84" s="6"/>
      <c r="E84" s="5"/>
      <c r="F84" s="7" t="str">
        <f>IF(AND(A84&lt;&gt;"",B84&lt;&gt;"",C84&lt;&gt;"",D84&lt;&gt;""),LEFT(A84,2)&amp;LEFT(B84,4)&amp;LEFT(C84,2)&amp;SUBSTITUTE(UPPER(D84),"Ú","U"),"")</f>
        <v/>
      </c>
      <c r="G84" s="7" t="str">
        <f>IFERROR(INDEX(Modelos!$B$2:$B$301,MATCH($B84,Modelos!$C$2:$C$301,0))&amp;"","")</f>
        <v/>
      </c>
      <c r="H84" s="7" t="str">
        <f>IFERROR(INDEX(Modelos!$D$2:$D$301,MATCH($B84,Modelos!$C$2:$C$301,0))&amp;"","")</f>
        <v/>
      </c>
      <c r="I84" s="7" t="str">
        <f>IFERROR(INDEX(Modelos!$E$2:$E$301,MATCH($B84,Modelos!$C$2:$C$301,0))&amp;"","")</f>
        <v/>
      </c>
      <c r="J84" s="7" t="str">
        <f>IFERROR(INDEX(Modelos!$F$2:$F$301,MATCH($B84,Modelos!$C$2:$C$301,0))&amp;"","")</f>
        <v/>
      </c>
      <c r="K84" s="7" t="str">
        <f>IFERROR(INDEX(Modelos!$G$2:$G$301,MATCH($B84,Modelos!$C$2:$C$301,0))&amp;"","")</f>
        <v/>
      </c>
      <c r="L84" s="7" t="str">
        <f>IFERROR(INDEX(Diccionarios!$G$2:$G$201,MATCH($C84,Diccionarios!$H$2:$H$201,0))&amp;"","")</f>
        <v/>
      </c>
      <c r="M84" s="7" t="str">
        <f>IF(D84="","",D84&amp;"")</f>
        <v/>
      </c>
      <c r="N84" s="8" t="str">
        <f>IF($B84="","",IFERROR(INDEX(Modelos!$H$2:$H$301,MATCH($B84,Modelos!$C$2:$C$301,0)),""))</f>
        <v/>
      </c>
      <c r="O84" s="8" t="str">
        <f>IF($B84="","",IFERROR(INDEX(Modelos!$I$2:$I$301,MATCH($B84,Modelos!$C$2:$C$301,0)),""))</f>
        <v/>
      </c>
      <c r="P84" s="8" t="str">
        <f>IF($B84="","",IFERROR(INDEX(Modelos!$J$2:$J$301,MATCH($B84,Modelos!$C$2:$C$301,0)),""))</f>
        <v/>
      </c>
      <c r="Q84" s="7" t="str">
        <f>IFERROR(INDEX(Diccionarios!$B$2:$B$201,MATCH($A84,Diccionarios!$D$2:$D$201,0))&amp;"","")</f>
        <v/>
      </c>
      <c r="R84" s="7" t="str">
        <f>IFERROR(INDEX(Diccionarios!$C$2:$C$201,MATCH($A84,Diccionarios!$D$2:$D$201,0))&amp;"","")</f>
        <v/>
      </c>
      <c r="S84" s="7" t="str">
        <f>IFERROR(INDEX(Modelos!$K$2:$K$301,MATCH($B84,Modelos!$C$2:$C$301,0))&amp;"","")</f>
        <v/>
      </c>
      <c r="T84" s="7" t="str">
        <f>IFERROR(INDEX(Modelos!$L$2:$L$301,MATCH($B84,Modelos!$C$2:$C$301,0))&amp;"","")</f>
        <v/>
      </c>
    </row>
    <row r="85" spans="1:20" x14ac:dyDescent="0.25">
      <c r="A85" s="5"/>
      <c r="B85" s="5"/>
      <c r="C85" s="5"/>
      <c r="D85" s="6"/>
      <c r="E85" s="5"/>
      <c r="F85" s="7" t="str">
        <f>IF(AND(A85&lt;&gt;"",B85&lt;&gt;"",C85&lt;&gt;"",D85&lt;&gt;""),LEFT(A85,2)&amp;LEFT(B85,4)&amp;LEFT(C85,2)&amp;SUBSTITUTE(UPPER(D85),"Ú","U"),"")</f>
        <v/>
      </c>
      <c r="G85" s="7" t="str">
        <f>IFERROR(INDEX(Modelos!$B$2:$B$301,MATCH($B85,Modelos!$C$2:$C$301,0))&amp;"","")</f>
        <v/>
      </c>
      <c r="H85" s="7" t="str">
        <f>IFERROR(INDEX(Modelos!$D$2:$D$301,MATCH($B85,Modelos!$C$2:$C$301,0))&amp;"","")</f>
        <v/>
      </c>
      <c r="I85" s="7" t="str">
        <f>IFERROR(INDEX(Modelos!$E$2:$E$301,MATCH($B85,Modelos!$C$2:$C$301,0))&amp;"","")</f>
        <v/>
      </c>
      <c r="J85" s="7" t="str">
        <f>IFERROR(INDEX(Modelos!$F$2:$F$301,MATCH($B85,Modelos!$C$2:$C$301,0))&amp;"","")</f>
        <v/>
      </c>
      <c r="K85" s="7" t="str">
        <f>IFERROR(INDEX(Modelos!$G$2:$G$301,MATCH($B85,Modelos!$C$2:$C$301,0))&amp;"","")</f>
        <v/>
      </c>
      <c r="L85" s="7" t="str">
        <f>IFERROR(INDEX(Diccionarios!$G$2:$G$201,MATCH($C85,Diccionarios!$H$2:$H$201,0))&amp;"","")</f>
        <v/>
      </c>
      <c r="M85" s="7" t="str">
        <f>IF(D85="","",D85&amp;"")</f>
        <v/>
      </c>
      <c r="N85" s="8" t="str">
        <f>IF($B85="","",IFERROR(INDEX(Modelos!$H$2:$H$301,MATCH($B85,Modelos!$C$2:$C$301,0)),""))</f>
        <v/>
      </c>
      <c r="O85" s="8" t="str">
        <f>IF($B85="","",IFERROR(INDEX(Modelos!$I$2:$I$301,MATCH($B85,Modelos!$C$2:$C$301,0)),""))</f>
        <v/>
      </c>
      <c r="P85" s="8" t="str">
        <f>IF($B85="","",IFERROR(INDEX(Modelos!$J$2:$J$301,MATCH($B85,Modelos!$C$2:$C$301,0)),""))</f>
        <v/>
      </c>
      <c r="Q85" s="7" t="str">
        <f>IFERROR(INDEX(Diccionarios!$B$2:$B$201,MATCH($A85,Diccionarios!$D$2:$D$201,0))&amp;"","")</f>
        <v/>
      </c>
      <c r="R85" s="7" t="str">
        <f>IFERROR(INDEX(Diccionarios!$C$2:$C$201,MATCH($A85,Diccionarios!$D$2:$D$201,0))&amp;"","")</f>
        <v/>
      </c>
      <c r="S85" s="7" t="str">
        <f>IFERROR(INDEX(Modelos!$K$2:$K$301,MATCH($B85,Modelos!$C$2:$C$301,0))&amp;"","")</f>
        <v/>
      </c>
      <c r="T85" s="7" t="str">
        <f>IFERROR(INDEX(Modelos!$L$2:$L$301,MATCH($B85,Modelos!$C$2:$C$301,0))&amp;"","")</f>
        <v/>
      </c>
    </row>
    <row r="86" spans="1:20" x14ac:dyDescent="0.25">
      <c r="A86" s="5"/>
      <c r="B86" s="5"/>
      <c r="C86" s="5"/>
      <c r="D86" s="6"/>
      <c r="E86" s="5"/>
      <c r="F86" s="7" t="str">
        <f>IF(AND(A86&lt;&gt;"",B86&lt;&gt;"",C86&lt;&gt;"",D86&lt;&gt;""),LEFT(A86,2)&amp;LEFT(B86,4)&amp;LEFT(C86,2)&amp;SUBSTITUTE(UPPER(D86),"Ú","U"),"")</f>
        <v/>
      </c>
      <c r="G86" s="7" t="str">
        <f>IFERROR(INDEX(Modelos!$B$2:$B$301,MATCH($B86,Modelos!$C$2:$C$301,0))&amp;"","")</f>
        <v/>
      </c>
      <c r="H86" s="7" t="str">
        <f>IFERROR(INDEX(Modelos!$D$2:$D$301,MATCH($B86,Modelos!$C$2:$C$301,0))&amp;"","")</f>
        <v/>
      </c>
      <c r="I86" s="7" t="str">
        <f>IFERROR(INDEX(Modelos!$E$2:$E$301,MATCH($B86,Modelos!$C$2:$C$301,0))&amp;"","")</f>
        <v/>
      </c>
      <c r="J86" s="7" t="str">
        <f>IFERROR(INDEX(Modelos!$F$2:$F$301,MATCH($B86,Modelos!$C$2:$C$301,0))&amp;"","")</f>
        <v/>
      </c>
      <c r="K86" s="7" t="str">
        <f>IFERROR(INDEX(Modelos!$G$2:$G$301,MATCH($B86,Modelos!$C$2:$C$301,0))&amp;"","")</f>
        <v/>
      </c>
      <c r="L86" s="7" t="str">
        <f>IFERROR(INDEX(Diccionarios!$G$2:$G$201,MATCH($C86,Diccionarios!$H$2:$H$201,0))&amp;"","")</f>
        <v/>
      </c>
      <c r="M86" s="7" t="str">
        <f>IF(D86="","",D86&amp;"")</f>
        <v/>
      </c>
      <c r="N86" s="8" t="str">
        <f>IF($B86="","",IFERROR(INDEX(Modelos!$H$2:$H$301,MATCH($B86,Modelos!$C$2:$C$301,0)),""))</f>
        <v/>
      </c>
      <c r="O86" s="8" t="str">
        <f>IF($B86="","",IFERROR(INDEX(Modelos!$I$2:$I$301,MATCH($B86,Modelos!$C$2:$C$301,0)),""))</f>
        <v/>
      </c>
      <c r="P86" s="8" t="str">
        <f>IF($B86="","",IFERROR(INDEX(Modelos!$J$2:$J$301,MATCH($B86,Modelos!$C$2:$C$301,0)),""))</f>
        <v/>
      </c>
      <c r="Q86" s="7" t="str">
        <f>IFERROR(INDEX(Diccionarios!$B$2:$B$201,MATCH($A86,Diccionarios!$D$2:$D$201,0))&amp;"","")</f>
        <v/>
      </c>
      <c r="R86" s="7" t="str">
        <f>IFERROR(INDEX(Diccionarios!$C$2:$C$201,MATCH($A86,Diccionarios!$D$2:$D$201,0))&amp;"","")</f>
        <v/>
      </c>
      <c r="S86" s="7" t="str">
        <f>IFERROR(INDEX(Modelos!$K$2:$K$301,MATCH($B86,Modelos!$C$2:$C$301,0))&amp;"","")</f>
        <v/>
      </c>
      <c r="T86" s="7" t="str">
        <f>IFERROR(INDEX(Modelos!$L$2:$L$301,MATCH($B86,Modelos!$C$2:$C$301,0))&amp;"","")</f>
        <v/>
      </c>
    </row>
    <row r="87" spans="1:20" x14ac:dyDescent="0.25">
      <c r="A87" s="5"/>
      <c r="B87" s="5"/>
      <c r="C87" s="5"/>
      <c r="D87" s="6"/>
      <c r="E87" s="5"/>
      <c r="F87" s="7" t="str">
        <f>IF(AND(A87&lt;&gt;"",B87&lt;&gt;"",C87&lt;&gt;"",D87&lt;&gt;""),LEFT(A87,2)&amp;LEFT(B87,4)&amp;LEFT(C87,2)&amp;SUBSTITUTE(UPPER(D87),"Ú","U"),"")</f>
        <v/>
      </c>
      <c r="G87" s="7" t="str">
        <f>IFERROR(INDEX(Modelos!$B$2:$B$301,MATCH($B87,Modelos!$C$2:$C$301,0))&amp;"","")</f>
        <v/>
      </c>
      <c r="H87" s="7" t="str">
        <f>IFERROR(INDEX(Modelos!$D$2:$D$301,MATCH($B87,Modelos!$C$2:$C$301,0))&amp;"","")</f>
        <v/>
      </c>
      <c r="I87" s="7" t="str">
        <f>IFERROR(INDEX(Modelos!$E$2:$E$301,MATCH($B87,Modelos!$C$2:$C$301,0))&amp;"","")</f>
        <v/>
      </c>
      <c r="J87" s="7" t="str">
        <f>IFERROR(INDEX(Modelos!$F$2:$F$301,MATCH($B87,Modelos!$C$2:$C$301,0))&amp;"","")</f>
        <v/>
      </c>
      <c r="K87" s="7" t="str">
        <f>IFERROR(INDEX(Modelos!$G$2:$G$301,MATCH($B87,Modelos!$C$2:$C$301,0))&amp;"","")</f>
        <v/>
      </c>
      <c r="L87" s="7" t="str">
        <f>IFERROR(INDEX(Diccionarios!$G$2:$G$201,MATCH($C87,Diccionarios!$H$2:$H$201,0))&amp;"","")</f>
        <v/>
      </c>
      <c r="M87" s="7" t="str">
        <f>IF(D87="","",D87&amp;"")</f>
        <v/>
      </c>
      <c r="N87" s="8" t="str">
        <f>IF($B87="","",IFERROR(INDEX(Modelos!$H$2:$H$301,MATCH($B87,Modelos!$C$2:$C$301,0)),""))</f>
        <v/>
      </c>
      <c r="O87" s="8" t="str">
        <f>IF($B87="","",IFERROR(INDEX(Modelos!$I$2:$I$301,MATCH($B87,Modelos!$C$2:$C$301,0)),""))</f>
        <v/>
      </c>
      <c r="P87" s="8" t="str">
        <f>IF($B87="","",IFERROR(INDEX(Modelos!$J$2:$J$301,MATCH($B87,Modelos!$C$2:$C$301,0)),""))</f>
        <v/>
      </c>
      <c r="Q87" s="7" t="str">
        <f>IFERROR(INDEX(Diccionarios!$B$2:$B$201,MATCH($A87,Diccionarios!$D$2:$D$201,0))&amp;"","")</f>
        <v/>
      </c>
      <c r="R87" s="7" t="str">
        <f>IFERROR(INDEX(Diccionarios!$C$2:$C$201,MATCH($A87,Diccionarios!$D$2:$D$201,0))&amp;"","")</f>
        <v/>
      </c>
      <c r="S87" s="7" t="str">
        <f>IFERROR(INDEX(Modelos!$K$2:$K$301,MATCH($B87,Modelos!$C$2:$C$301,0))&amp;"","")</f>
        <v/>
      </c>
      <c r="T87" s="7" t="str">
        <f>IFERROR(INDEX(Modelos!$L$2:$L$301,MATCH($B87,Modelos!$C$2:$C$301,0))&amp;"","")</f>
        <v/>
      </c>
    </row>
    <row r="88" spans="1:20" x14ac:dyDescent="0.25">
      <c r="A88" s="5"/>
      <c r="B88" s="5"/>
      <c r="C88" s="5"/>
      <c r="D88" s="6"/>
      <c r="E88" s="5"/>
      <c r="F88" s="7" t="str">
        <f>IF(AND(A88&lt;&gt;"",B88&lt;&gt;"",C88&lt;&gt;"",D88&lt;&gt;""),LEFT(A88,2)&amp;LEFT(B88,4)&amp;LEFT(C88,2)&amp;SUBSTITUTE(UPPER(D88),"Ú","U"),"")</f>
        <v/>
      </c>
      <c r="G88" s="7" t="str">
        <f>IFERROR(INDEX(Modelos!$B$2:$B$301,MATCH($B88,Modelos!$C$2:$C$301,0))&amp;"","")</f>
        <v/>
      </c>
      <c r="H88" s="7" t="str">
        <f>IFERROR(INDEX(Modelos!$D$2:$D$301,MATCH($B88,Modelos!$C$2:$C$301,0))&amp;"","")</f>
        <v/>
      </c>
      <c r="I88" s="7" t="str">
        <f>IFERROR(INDEX(Modelos!$E$2:$E$301,MATCH($B88,Modelos!$C$2:$C$301,0))&amp;"","")</f>
        <v/>
      </c>
      <c r="J88" s="7" t="str">
        <f>IFERROR(INDEX(Modelos!$F$2:$F$301,MATCH($B88,Modelos!$C$2:$C$301,0))&amp;"","")</f>
        <v/>
      </c>
      <c r="K88" s="7" t="str">
        <f>IFERROR(INDEX(Modelos!$G$2:$G$301,MATCH($B88,Modelos!$C$2:$C$301,0))&amp;"","")</f>
        <v/>
      </c>
      <c r="L88" s="7" t="str">
        <f>IFERROR(INDEX(Diccionarios!$G$2:$G$201,MATCH($C88,Diccionarios!$H$2:$H$201,0))&amp;"","")</f>
        <v/>
      </c>
      <c r="M88" s="7" t="str">
        <f>IF(D88="","",D88&amp;"")</f>
        <v/>
      </c>
      <c r="N88" s="8" t="str">
        <f>IF($B88="","",IFERROR(INDEX(Modelos!$H$2:$H$301,MATCH($B88,Modelos!$C$2:$C$301,0)),""))</f>
        <v/>
      </c>
      <c r="O88" s="8" t="str">
        <f>IF($B88="","",IFERROR(INDEX(Modelos!$I$2:$I$301,MATCH($B88,Modelos!$C$2:$C$301,0)),""))</f>
        <v/>
      </c>
      <c r="P88" s="8" t="str">
        <f>IF($B88="","",IFERROR(INDEX(Modelos!$J$2:$J$301,MATCH($B88,Modelos!$C$2:$C$301,0)),""))</f>
        <v/>
      </c>
      <c r="Q88" s="7" t="str">
        <f>IFERROR(INDEX(Diccionarios!$B$2:$B$201,MATCH($A88,Diccionarios!$D$2:$D$201,0))&amp;"","")</f>
        <v/>
      </c>
      <c r="R88" s="7" t="str">
        <f>IFERROR(INDEX(Diccionarios!$C$2:$C$201,MATCH($A88,Diccionarios!$D$2:$D$201,0))&amp;"","")</f>
        <v/>
      </c>
      <c r="S88" s="7" t="str">
        <f>IFERROR(INDEX(Modelos!$K$2:$K$301,MATCH($B88,Modelos!$C$2:$C$301,0))&amp;"","")</f>
        <v/>
      </c>
      <c r="T88" s="7" t="str">
        <f>IFERROR(INDEX(Modelos!$L$2:$L$301,MATCH($B88,Modelos!$C$2:$C$301,0))&amp;"","")</f>
        <v/>
      </c>
    </row>
    <row r="89" spans="1:20" x14ac:dyDescent="0.25">
      <c r="A89" s="5"/>
      <c r="B89" s="5"/>
      <c r="C89" s="5"/>
      <c r="D89" s="6"/>
      <c r="E89" s="5"/>
      <c r="F89" s="7" t="str">
        <f>IF(AND(A89&lt;&gt;"",B89&lt;&gt;"",C89&lt;&gt;"",D89&lt;&gt;""),LEFT(A89,2)&amp;LEFT(B89,4)&amp;LEFT(C89,2)&amp;SUBSTITUTE(UPPER(D89),"Ú","U"),"")</f>
        <v/>
      </c>
      <c r="G89" s="7" t="str">
        <f>IFERROR(INDEX(Modelos!$B$2:$B$301,MATCH($B89,Modelos!$C$2:$C$301,0))&amp;"","")</f>
        <v/>
      </c>
      <c r="H89" s="7" t="str">
        <f>IFERROR(INDEX(Modelos!$D$2:$D$301,MATCH($B89,Modelos!$C$2:$C$301,0))&amp;"","")</f>
        <v/>
      </c>
      <c r="I89" s="7" t="str">
        <f>IFERROR(INDEX(Modelos!$E$2:$E$301,MATCH($B89,Modelos!$C$2:$C$301,0))&amp;"","")</f>
        <v/>
      </c>
      <c r="J89" s="7" t="str">
        <f>IFERROR(INDEX(Modelos!$F$2:$F$301,MATCH($B89,Modelos!$C$2:$C$301,0))&amp;"","")</f>
        <v/>
      </c>
      <c r="K89" s="7" t="str">
        <f>IFERROR(INDEX(Modelos!$G$2:$G$301,MATCH($B89,Modelos!$C$2:$C$301,0))&amp;"","")</f>
        <v/>
      </c>
      <c r="L89" s="7" t="str">
        <f>IFERROR(INDEX(Diccionarios!$G$2:$G$201,MATCH($C89,Diccionarios!$H$2:$H$201,0))&amp;"","")</f>
        <v/>
      </c>
      <c r="M89" s="7" t="str">
        <f>IF(D89="","",D89&amp;"")</f>
        <v/>
      </c>
      <c r="N89" s="8" t="str">
        <f>IF($B89="","",IFERROR(INDEX(Modelos!$H$2:$H$301,MATCH($B89,Modelos!$C$2:$C$301,0)),""))</f>
        <v/>
      </c>
      <c r="O89" s="8" t="str">
        <f>IF($B89="","",IFERROR(INDEX(Modelos!$I$2:$I$301,MATCH($B89,Modelos!$C$2:$C$301,0)),""))</f>
        <v/>
      </c>
      <c r="P89" s="8" t="str">
        <f>IF($B89="","",IFERROR(INDEX(Modelos!$J$2:$J$301,MATCH($B89,Modelos!$C$2:$C$301,0)),""))</f>
        <v/>
      </c>
      <c r="Q89" s="7" t="str">
        <f>IFERROR(INDEX(Diccionarios!$B$2:$B$201,MATCH($A89,Diccionarios!$D$2:$D$201,0))&amp;"","")</f>
        <v/>
      </c>
      <c r="R89" s="7" t="str">
        <f>IFERROR(INDEX(Diccionarios!$C$2:$C$201,MATCH($A89,Diccionarios!$D$2:$D$201,0))&amp;"","")</f>
        <v/>
      </c>
      <c r="S89" s="7" t="str">
        <f>IFERROR(INDEX(Modelos!$K$2:$K$301,MATCH($B89,Modelos!$C$2:$C$301,0))&amp;"","")</f>
        <v/>
      </c>
      <c r="T89" s="7" t="str">
        <f>IFERROR(INDEX(Modelos!$L$2:$L$301,MATCH($B89,Modelos!$C$2:$C$301,0))&amp;"","")</f>
        <v/>
      </c>
    </row>
    <row r="90" spans="1:20" x14ac:dyDescent="0.25">
      <c r="A90" s="5"/>
      <c r="B90" s="5"/>
      <c r="C90" s="5"/>
      <c r="D90" s="6"/>
      <c r="E90" s="5"/>
      <c r="F90" s="7" t="str">
        <f>IF(AND(A90&lt;&gt;"",B90&lt;&gt;"",C90&lt;&gt;"",D90&lt;&gt;""),LEFT(A90,2)&amp;LEFT(B90,4)&amp;LEFT(C90,2)&amp;SUBSTITUTE(UPPER(D90),"Ú","U"),"")</f>
        <v/>
      </c>
      <c r="G90" s="7" t="str">
        <f>IFERROR(INDEX(Modelos!$B$2:$B$301,MATCH($B90,Modelos!$C$2:$C$301,0))&amp;"","")</f>
        <v/>
      </c>
      <c r="H90" s="7" t="str">
        <f>IFERROR(INDEX(Modelos!$D$2:$D$301,MATCH($B90,Modelos!$C$2:$C$301,0))&amp;"","")</f>
        <v/>
      </c>
      <c r="I90" s="7" t="str">
        <f>IFERROR(INDEX(Modelos!$E$2:$E$301,MATCH($B90,Modelos!$C$2:$C$301,0))&amp;"","")</f>
        <v/>
      </c>
      <c r="J90" s="7" t="str">
        <f>IFERROR(INDEX(Modelos!$F$2:$F$301,MATCH($B90,Modelos!$C$2:$C$301,0))&amp;"","")</f>
        <v/>
      </c>
      <c r="K90" s="7" t="str">
        <f>IFERROR(INDEX(Modelos!$G$2:$G$301,MATCH($B90,Modelos!$C$2:$C$301,0))&amp;"","")</f>
        <v/>
      </c>
      <c r="L90" s="7" t="str">
        <f>IFERROR(INDEX(Diccionarios!$G$2:$G$201,MATCH($C90,Diccionarios!$H$2:$H$201,0))&amp;"","")</f>
        <v/>
      </c>
      <c r="M90" s="7" t="str">
        <f>IF(D90="","",D90&amp;"")</f>
        <v/>
      </c>
      <c r="N90" s="8" t="str">
        <f>IF($B90="","",IFERROR(INDEX(Modelos!$H$2:$H$301,MATCH($B90,Modelos!$C$2:$C$301,0)),""))</f>
        <v/>
      </c>
      <c r="O90" s="8" t="str">
        <f>IF($B90="","",IFERROR(INDEX(Modelos!$I$2:$I$301,MATCH($B90,Modelos!$C$2:$C$301,0)),""))</f>
        <v/>
      </c>
      <c r="P90" s="8" t="str">
        <f>IF($B90="","",IFERROR(INDEX(Modelos!$J$2:$J$301,MATCH($B90,Modelos!$C$2:$C$301,0)),""))</f>
        <v/>
      </c>
      <c r="Q90" s="7" t="str">
        <f>IFERROR(INDEX(Diccionarios!$B$2:$B$201,MATCH($A90,Diccionarios!$D$2:$D$201,0))&amp;"","")</f>
        <v/>
      </c>
      <c r="R90" s="7" t="str">
        <f>IFERROR(INDEX(Diccionarios!$C$2:$C$201,MATCH($A90,Diccionarios!$D$2:$D$201,0))&amp;"","")</f>
        <v/>
      </c>
      <c r="S90" s="7" t="str">
        <f>IFERROR(INDEX(Modelos!$K$2:$K$301,MATCH($B90,Modelos!$C$2:$C$301,0))&amp;"","")</f>
        <v/>
      </c>
      <c r="T90" s="7" t="str">
        <f>IFERROR(INDEX(Modelos!$L$2:$L$301,MATCH($B90,Modelos!$C$2:$C$301,0))&amp;"","")</f>
        <v/>
      </c>
    </row>
    <row r="91" spans="1:20" x14ac:dyDescent="0.25">
      <c r="A91" s="5"/>
      <c r="B91" s="5"/>
      <c r="C91" s="5"/>
      <c r="D91" s="6"/>
      <c r="E91" s="5"/>
      <c r="F91" s="7" t="str">
        <f>IF(AND(A91&lt;&gt;"",B91&lt;&gt;"",C91&lt;&gt;"",D91&lt;&gt;""),LEFT(A91,2)&amp;LEFT(B91,4)&amp;LEFT(C91,2)&amp;SUBSTITUTE(UPPER(D91),"Ú","U"),"")</f>
        <v/>
      </c>
      <c r="G91" s="7" t="str">
        <f>IFERROR(INDEX(Modelos!$B$2:$B$301,MATCH($B91,Modelos!$C$2:$C$301,0))&amp;"","")</f>
        <v/>
      </c>
      <c r="H91" s="7" t="str">
        <f>IFERROR(INDEX(Modelos!$D$2:$D$301,MATCH($B91,Modelos!$C$2:$C$301,0))&amp;"","")</f>
        <v/>
      </c>
      <c r="I91" s="7" t="str">
        <f>IFERROR(INDEX(Modelos!$E$2:$E$301,MATCH($B91,Modelos!$C$2:$C$301,0))&amp;"","")</f>
        <v/>
      </c>
      <c r="J91" s="7" t="str">
        <f>IFERROR(INDEX(Modelos!$F$2:$F$301,MATCH($B91,Modelos!$C$2:$C$301,0))&amp;"","")</f>
        <v/>
      </c>
      <c r="K91" s="7" t="str">
        <f>IFERROR(INDEX(Modelos!$G$2:$G$301,MATCH($B91,Modelos!$C$2:$C$301,0))&amp;"","")</f>
        <v/>
      </c>
      <c r="L91" s="7" t="str">
        <f>IFERROR(INDEX(Diccionarios!$G$2:$G$201,MATCH($C91,Diccionarios!$H$2:$H$201,0))&amp;"","")</f>
        <v/>
      </c>
      <c r="M91" s="7" t="str">
        <f>IF(D91="","",D91&amp;"")</f>
        <v/>
      </c>
      <c r="N91" s="8" t="str">
        <f>IF($B91="","",IFERROR(INDEX(Modelos!$H$2:$H$301,MATCH($B91,Modelos!$C$2:$C$301,0)),""))</f>
        <v/>
      </c>
      <c r="O91" s="8" t="str">
        <f>IF($B91="","",IFERROR(INDEX(Modelos!$I$2:$I$301,MATCH($B91,Modelos!$C$2:$C$301,0)),""))</f>
        <v/>
      </c>
      <c r="P91" s="8" t="str">
        <f>IF($B91="","",IFERROR(INDEX(Modelos!$J$2:$J$301,MATCH($B91,Modelos!$C$2:$C$301,0)),""))</f>
        <v/>
      </c>
      <c r="Q91" s="7" t="str">
        <f>IFERROR(INDEX(Diccionarios!$B$2:$B$201,MATCH($A91,Diccionarios!$D$2:$D$201,0))&amp;"","")</f>
        <v/>
      </c>
      <c r="R91" s="7" t="str">
        <f>IFERROR(INDEX(Diccionarios!$C$2:$C$201,MATCH($A91,Diccionarios!$D$2:$D$201,0))&amp;"","")</f>
        <v/>
      </c>
      <c r="S91" s="7" t="str">
        <f>IFERROR(INDEX(Modelos!$K$2:$K$301,MATCH($B91,Modelos!$C$2:$C$301,0))&amp;"","")</f>
        <v/>
      </c>
      <c r="T91" s="7" t="str">
        <f>IFERROR(INDEX(Modelos!$L$2:$L$301,MATCH($B91,Modelos!$C$2:$C$301,0))&amp;"","")</f>
        <v/>
      </c>
    </row>
    <row r="92" spans="1:20" x14ac:dyDescent="0.25">
      <c r="A92" s="5"/>
      <c r="B92" s="5"/>
      <c r="C92" s="5"/>
      <c r="D92" s="6"/>
      <c r="E92" s="5"/>
      <c r="F92" s="7" t="str">
        <f>IF(AND(A92&lt;&gt;"",B92&lt;&gt;"",C92&lt;&gt;"",D92&lt;&gt;""),LEFT(A92,2)&amp;LEFT(B92,4)&amp;LEFT(C92,2)&amp;SUBSTITUTE(UPPER(D92),"Ú","U"),"")</f>
        <v/>
      </c>
      <c r="G92" s="7" t="str">
        <f>IFERROR(INDEX(Modelos!$B$2:$B$301,MATCH($B92,Modelos!$C$2:$C$301,0))&amp;"","")</f>
        <v/>
      </c>
      <c r="H92" s="7" t="str">
        <f>IFERROR(INDEX(Modelos!$D$2:$D$301,MATCH($B92,Modelos!$C$2:$C$301,0))&amp;"","")</f>
        <v/>
      </c>
      <c r="I92" s="7" t="str">
        <f>IFERROR(INDEX(Modelos!$E$2:$E$301,MATCH($B92,Modelos!$C$2:$C$301,0))&amp;"","")</f>
        <v/>
      </c>
      <c r="J92" s="7" t="str">
        <f>IFERROR(INDEX(Modelos!$F$2:$F$301,MATCH($B92,Modelos!$C$2:$C$301,0))&amp;"","")</f>
        <v/>
      </c>
      <c r="K92" s="7" t="str">
        <f>IFERROR(INDEX(Modelos!$G$2:$G$301,MATCH($B92,Modelos!$C$2:$C$301,0))&amp;"","")</f>
        <v/>
      </c>
      <c r="L92" s="7" t="str">
        <f>IFERROR(INDEX(Diccionarios!$G$2:$G$201,MATCH($C92,Diccionarios!$H$2:$H$201,0))&amp;"","")</f>
        <v/>
      </c>
      <c r="M92" s="7" t="str">
        <f>IF(D92="","",D92&amp;"")</f>
        <v/>
      </c>
      <c r="N92" s="8" t="str">
        <f>IF($B92="","",IFERROR(INDEX(Modelos!$H$2:$H$301,MATCH($B92,Modelos!$C$2:$C$301,0)),""))</f>
        <v/>
      </c>
      <c r="O92" s="8" t="str">
        <f>IF($B92="","",IFERROR(INDEX(Modelos!$I$2:$I$301,MATCH($B92,Modelos!$C$2:$C$301,0)),""))</f>
        <v/>
      </c>
      <c r="P92" s="8" t="str">
        <f>IF($B92="","",IFERROR(INDEX(Modelos!$J$2:$J$301,MATCH($B92,Modelos!$C$2:$C$301,0)),""))</f>
        <v/>
      </c>
      <c r="Q92" s="7" t="str">
        <f>IFERROR(INDEX(Diccionarios!$B$2:$B$201,MATCH($A92,Diccionarios!$D$2:$D$201,0))&amp;"","")</f>
        <v/>
      </c>
      <c r="R92" s="7" t="str">
        <f>IFERROR(INDEX(Diccionarios!$C$2:$C$201,MATCH($A92,Diccionarios!$D$2:$D$201,0))&amp;"","")</f>
        <v/>
      </c>
      <c r="S92" s="7" t="str">
        <f>IFERROR(INDEX(Modelos!$K$2:$K$301,MATCH($B92,Modelos!$C$2:$C$301,0))&amp;"","")</f>
        <v/>
      </c>
      <c r="T92" s="7" t="str">
        <f>IFERROR(INDEX(Modelos!$L$2:$L$301,MATCH($B92,Modelos!$C$2:$C$301,0))&amp;"","")</f>
        <v/>
      </c>
    </row>
    <row r="93" spans="1:20" x14ac:dyDescent="0.25">
      <c r="A93" s="5"/>
      <c r="B93" s="5"/>
      <c r="C93" s="5"/>
      <c r="D93" s="6"/>
      <c r="E93" s="5"/>
      <c r="F93" s="7" t="str">
        <f>IF(AND(A93&lt;&gt;"",B93&lt;&gt;"",C93&lt;&gt;"",D93&lt;&gt;""),LEFT(A93,2)&amp;LEFT(B93,4)&amp;LEFT(C93,2)&amp;SUBSTITUTE(UPPER(D93),"Ú","U"),"")</f>
        <v/>
      </c>
      <c r="G93" s="7" t="str">
        <f>IFERROR(INDEX(Modelos!$B$2:$B$301,MATCH($B93,Modelos!$C$2:$C$301,0))&amp;"","")</f>
        <v/>
      </c>
      <c r="H93" s="7" t="str">
        <f>IFERROR(INDEX(Modelos!$D$2:$D$301,MATCH($B93,Modelos!$C$2:$C$301,0))&amp;"","")</f>
        <v/>
      </c>
      <c r="I93" s="7" t="str">
        <f>IFERROR(INDEX(Modelos!$E$2:$E$301,MATCH($B93,Modelos!$C$2:$C$301,0))&amp;"","")</f>
        <v/>
      </c>
      <c r="J93" s="7" t="str">
        <f>IFERROR(INDEX(Modelos!$F$2:$F$301,MATCH($B93,Modelos!$C$2:$C$301,0))&amp;"","")</f>
        <v/>
      </c>
      <c r="K93" s="7" t="str">
        <f>IFERROR(INDEX(Modelos!$G$2:$G$301,MATCH($B93,Modelos!$C$2:$C$301,0))&amp;"","")</f>
        <v/>
      </c>
      <c r="L93" s="7" t="str">
        <f>IFERROR(INDEX(Diccionarios!$G$2:$G$201,MATCH($C93,Diccionarios!$H$2:$H$201,0))&amp;"","")</f>
        <v/>
      </c>
      <c r="M93" s="7" t="str">
        <f>IF(D93="","",D93&amp;"")</f>
        <v/>
      </c>
      <c r="N93" s="8" t="str">
        <f>IF($B93="","",IFERROR(INDEX(Modelos!$H$2:$H$301,MATCH($B93,Modelos!$C$2:$C$301,0)),""))</f>
        <v/>
      </c>
      <c r="O93" s="8" t="str">
        <f>IF($B93="","",IFERROR(INDEX(Modelos!$I$2:$I$301,MATCH($B93,Modelos!$C$2:$C$301,0)),""))</f>
        <v/>
      </c>
      <c r="P93" s="8" t="str">
        <f>IF($B93="","",IFERROR(INDEX(Modelos!$J$2:$J$301,MATCH($B93,Modelos!$C$2:$C$301,0)),""))</f>
        <v/>
      </c>
      <c r="Q93" s="7" t="str">
        <f>IFERROR(INDEX(Diccionarios!$B$2:$B$201,MATCH($A93,Diccionarios!$D$2:$D$201,0))&amp;"","")</f>
        <v/>
      </c>
      <c r="R93" s="7" t="str">
        <f>IFERROR(INDEX(Diccionarios!$C$2:$C$201,MATCH($A93,Diccionarios!$D$2:$D$201,0))&amp;"","")</f>
        <v/>
      </c>
      <c r="S93" s="7" t="str">
        <f>IFERROR(INDEX(Modelos!$K$2:$K$301,MATCH($B93,Modelos!$C$2:$C$301,0))&amp;"","")</f>
        <v/>
      </c>
      <c r="T93" s="7" t="str">
        <f>IFERROR(INDEX(Modelos!$L$2:$L$301,MATCH($B93,Modelos!$C$2:$C$301,0))&amp;"","")</f>
        <v/>
      </c>
    </row>
    <row r="94" spans="1:20" x14ac:dyDescent="0.25">
      <c r="A94" s="5"/>
      <c r="B94" s="5"/>
      <c r="C94" s="5"/>
      <c r="D94" s="6"/>
      <c r="E94" s="5"/>
      <c r="F94" s="7" t="str">
        <f>IF(AND(A94&lt;&gt;"",B94&lt;&gt;"",C94&lt;&gt;"",D94&lt;&gt;""),LEFT(A94,2)&amp;LEFT(B94,4)&amp;LEFT(C94,2)&amp;SUBSTITUTE(UPPER(D94),"Ú","U"),"")</f>
        <v/>
      </c>
      <c r="G94" s="7" t="str">
        <f>IFERROR(INDEX(Modelos!$B$2:$B$301,MATCH($B94,Modelos!$C$2:$C$301,0))&amp;"","")</f>
        <v/>
      </c>
      <c r="H94" s="7" t="str">
        <f>IFERROR(INDEX(Modelos!$D$2:$D$301,MATCH($B94,Modelos!$C$2:$C$301,0))&amp;"","")</f>
        <v/>
      </c>
      <c r="I94" s="7" t="str">
        <f>IFERROR(INDEX(Modelos!$E$2:$E$301,MATCH($B94,Modelos!$C$2:$C$301,0))&amp;"","")</f>
        <v/>
      </c>
      <c r="J94" s="7" t="str">
        <f>IFERROR(INDEX(Modelos!$F$2:$F$301,MATCH($B94,Modelos!$C$2:$C$301,0))&amp;"","")</f>
        <v/>
      </c>
      <c r="K94" s="7" t="str">
        <f>IFERROR(INDEX(Modelos!$G$2:$G$301,MATCH($B94,Modelos!$C$2:$C$301,0))&amp;"","")</f>
        <v/>
      </c>
      <c r="L94" s="7" t="str">
        <f>IFERROR(INDEX(Diccionarios!$G$2:$G$201,MATCH($C94,Diccionarios!$H$2:$H$201,0))&amp;"","")</f>
        <v/>
      </c>
      <c r="M94" s="7" t="str">
        <f>IF(D94="","",D94&amp;"")</f>
        <v/>
      </c>
      <c r="N94" s="8" t="str">
        <f>IF($B94="","",IFERROR(INDEX(Modelos!$H$2:$H$301,MATCH($B94,Modelos!$C$2:$C$301,0)),""))</f>
        <v/>
      </c>
      <c r="O94" s="8" t="str">
        <f>IF($B94="","",IFERROR(INDEX(Modelos!$I$2:$I$301,MATCH($B94,Modelos!$C$2:$C$301,0)),""))</f>
        <v/>
      </c>
      <c r="P94" s="8" t="str">
        <f>IF($B94="","",IFERROR(INDEX(Modelos!$J$2:$J$301,MATCH($B94,Modelos!$C$2:$C$301,0)),""))</f>
        <v/>
      </c>
      <c r="Q94" s="7" t="str">
        <f>IFERROR(INDEX(Diccionarios!$B$2:$B$201,MATCH($A94,Diccionarios!$D$2:$D$201,0))&amp;"","")</f>
        <v/>
      </c>
      <c r="R94" s="7" t="str">
        <f>IFERROR(INDEX(Diccionarios!$C$2:$C$201,MATCH($A94,Diccionarios!$D$2:$D$201,0))&amp;"","")</f>
        <v/>
      </c>
      <c r="S94" s="7" t="str">
        <f>IFERROR(INDEX(Modelos!$K$2:$K$301,MATCH($B94,Modelos!$C$2:$C$301,0))&amp;"","")</f>
        <v/>
      </c>
      <c r="T94" s="7" t="str">
        <f>IFERROR(INDEX(Modelos!$L$2:$L$301,MATCH($B94,Modelos!$C$2:$C$301,0))&amp;"","")</f>
        <v/>
      </c>
    </row>
    <row r="95" spans="1:20" x14ac:dyDescent="0.25">
      <c r="A95" s="5"/>
      <c r="B95" s="5"/>
      <c r="C95" s="5"/>
      <c r="D95" s="6"/>
      <c r="E95" s="5"/>
      <c r="F95" s="7" t="str">
        <f>IF(AND(A95&lt;&gt;"",B95&lt;&gt;"",C95&lt;&gt;"",D95&lt;&gt;""),LEFT(A95,2)&amp;LEFT(B95,4)&amp;LEFT(C95,2)&amp;SUBSTITUTE(UPPER(D95),"Ú","U"),"")</f>
        <v/>
      </c>
      <c r="G95" s="7" t="str">
        <f>IFERROR(INDEX(Modelos!$B$2:$B$301,MATCH($B95,Modelos!$C$2:$C$301,0))&amp;"","")</f>
        <v/>
      </c>
      <c r="H95" s="7" t="str">
        <f>IFERROR(INDEX(Modelos!$D$2:$D$301,MATCH($B95,Modelos!$C$2:$C$301,0))&amp;"","")</f>
        <v/>
      </c>
      <c r="I95" s="7" t="str">
        <f>IFERROR(INDEX(Modelos!$E$2:$E$301,MATCH($B95,Modelos!$C$2:$C$301,0))&amp;"","")</f>
        <v/>
      </c>
      <c r="J95" s="7" t="str">
        <f>IFERROR(INDEX(Modelos!$F$2:$F$301,MATCH($B95,Modelos!$C$2:$C$301,0))&amp;"","")</f>
        <v/>
      </c>
      <c r="K95" s="7" t="str">
        <f>IFERROR(INDEX(Modelos!$G$2:$G$301,MATCH($B95,Modelos!$C$2:$C$301,0))&amp;"","")</f>
        <v/>
      </c>
      <c r="L95" s="7" t="str">
        <f>IFERROR(INDEX(Diccionarios!$G$2:$G$201,MATCH($C95,Diccionarios!$H$2:$H$201,0))&amp;"","")</f>
        <v/>
      </c>
      <c r="M95" s="7" t="str">
        <f>IF(D95="","",D95&amp;"")</f>
        <v/>
      </c>
      <c r="N95" s="8" t="str">
        <f>IF($B95="","",IFERROR(INDEX(Modelos!$H$2:$H$301,MATCH($B95,Modelos!$C$2:$C$301,0)),""))</f>
        <v/>
      </c>
      <c r="O95" s="8" t="str">
        <f>IF($B95="","",IFERROR(INDEX(Modelos!$I$2:$I$301,MATCH($B95,Modelos!$C$2:$C$301,0)),""))</f>
        <v/>
      </c>
      <c r="P95" s="8" t="str">
        <f>IF($B95="","",IFERROR(INDEX(Modelos!$J$2:$J$301,MATCH($B95,Modelos!$C$2:$C$301,0)),""))</f>
        <v/>
      </c>
      <c r="Q95" s="7" t="str">
        <f>IFERROR(INDEX(Diccionarios!$B$2:$B$201,MATCH($A95,Diccionarios!$D$2:$D$201,0))&amp;"","")</f>
        <v/>
      </c>
      <c r="R95" s="7" t="str">
        <f>IFERROR(INDEX(Diccionarios!$C$2:$C$201,MATCH($A95,Diccionarios!$D$2:$D$201,0))&amp;"","")</f>
        <v/>
      </c>
      <c r="S95" s="7" t="str">
        <f>IFERROR(INDEX(Modelos!$K$2:$K$301,MATCH($B95,Modelos!$C$2:$C$301,0))&amp;"","")</f>
        <v/>
      </c>
      <c r="T95" s="7" t="str">
        <f>IFERROR(INDEX(Modelos!$L$2:$L$301,MATCH($B95,Modelos!$C$2:$C$301,0))&amp;"","")</f>
        <v/>
      </c>
    </row>
    <row r="96" spans="1:20" x14ac:dyDescent="0.25">
      <c r="A96" s="5"/>
      <c r="B96" s="5"/>
      <c r="C96" s="5"/>
      <c r="D96" s="6"/>
      <c r="E96" s="5"/>
      <c r="F96" s="7" t="str">
        <f>IF(AND(A96&lt;&gt;"",B96&lt;&gt;"",C96&lt;&gt;"",D96&lt;&gt;""),LEFT(A96,2)&amp;LEFT(B96,4)&amp;LEFT(C96,2)&amp;SUBSTITUTE(UPPER(D96),"Ú","U"),"")</f>
        <v/>
      </c>
      <c r="G96" s="7" t="str">
        <f>IFERROR(INDEX(Modelos!$B$2:$B$301,MATCH($B96,Modelos!$C$2:$C$301,0))&amp;"","")</f>
        <v/>
      </c>
      <c r="H96" s="7" t="str">
        <f>IFERROR(INDEX(Modelos!$D$2:$D$301,MATCH($B96,Modelos!$C$2:$C$301,0))&amp;"","")</f>
        <v/>
      </c>
      <c r="I96" s="7" t="str">
        <f>IFERROR(INDEX(Modelos!$E$2:$E$301,MATCH($B96,Modelos!$C$2:$C$301,0))&amp;"","")</f>
        <v/>
      </c>
      <c r="J96" s="7" t="str">
        <f>IFERROR(INDEX(Modelos!$F$2:$F$301,MATCH($B96,Modelos!$C$2:$C$301,0))&amp;"","")</f>
        <v/>
      </c>
      <c r="K96" s="7" t="str">
        <f>IFERROR(INDEX(Modelos!$G$2:$G$301,MATCH($B96,Modelos!$C$2:$C$301,0))&amp;"","")</f>
        <v/>
      </c>
      <c r="L96" s="7" t="str">
        <f>IFERROR(INDEX(Diccionarios!$G$2:$G$201,MATCH($C96,Diccionarios!$H$2:$H$201,0))&amp;"","")</f>
        <v/>
      </c>
      <c r="M96" s="7" t="str">
        <f>IF(D96="","",D96&amp;"")</f>
        <v/>
      </c>
      <c r="N96" s="8" t="str">
        <f>IF($B96="","",IFERROR(INDEX(Modelos!$H$2:$H$301,MATCH($B96,Modelos!$C$2:$C$301,0)),""))</f>
        <v/>
      </c>
      <c r="O96" s="8" t="str">
        <f>IF($B96="","",IFERROR(INDEX(Modelos!$I$2:$I$301,MATCH($B96,Modelos!$C$2:$C$301,0)),""))</f>
        <v/>
      </c>
      <c r="P96" s="8" t="str">
        <f>IF($B96="","",IFERROR(INDEX(Modelos!$J$2:$J$301,MATCH($B96,Modelos!$C$2:$C$301,0)),""))</f>
        <v/>
      </c>
      <c r="Q96" s="7" t="str">
        <f>IFERROR(INDEX(Diccionarios!$B$2:$B$201,MATCH($A96,Diccionarios!$D$2:$D$201,0))&amp;"","")</f>
        <v/>
      </c>
      <c r="R96" s="7" t="str">
        <f>IFERROR(INDEX(Diccionarios!$C$2:$C$201,MATCH($A96,Diccionarios!$D$2:$D$201,0))&amp;"","")</f>
        <v/>
      </c>
      <c r="S96" s="7" t="str">
        <f>IFERROR(INDEX(Modelos!$K$2:$K$301,MATCH($B96,Modelos!$C$2:$C$301,0))&amp;"","")</f>
        <v/>
      </c>
      <c r="T96" s="7" t="str">
        <f>IFERROR(INDEX(Modelos!$L$2:$L$301,MATCH($B96,Modelos!$C$2:$C$301,0))&amp;"","")</f>
        <v/>
      </c>
    </row>
    <row r="97" spans="1:20" x14ac:dyDescent="0.25">
      <c r="A97" s="5"/>
      <c r="B97" s="5"/>
      <c r="C97" s="5"/>
      <c r="D97" s="6"/>
      <c r="E97" s="5"/>
      <c r="F97" s="7" t="str">
        <f>IF(AND(A97&lt;&gt;"",B97&lt;&gt;"",C97&lt;&gt;"",D97&lt;&gt;""),LEFT(A97,2)&amp;LEFT(B97,4)&amp;LEFT(C97,2)&amp;SUBSTITUTE(UPPER(D97),"Ú","U"),"")</f>
        <v/>
      </c>
      <c r="G97" s="7" t="str">
        <f>IFERROR(INDEX(Modelos!$B$2:$B$301,MATCH($B97,Modelos!$C$2:$C$301,0))&amp;"","")</f>
        <v/>
      </c>
      <c r="H97" s="7" t="str">
        <f>IFERROR(INDEX(Modelos!$D$2:$D$301,MATCH($B97,Modelos!$C$2:$C$301,0))&amp;"","")</f>
        <v/>
      </c>
      <c r="I97" s="7" t="str">
        <f>IFERROR(INDEX(Modelos!$E$2:$E$301,MATCH($B97,Modelos!$C$2:$C$301,0))&amp;"","")</f>
        <v/>
      </c>
      <c r="J97" s="7" t="str">
        <f>IFERROR(INDEX(Modelos!$F$2:$F$301,MATCH($B97,Modelos!$C$2:$C$301,0))&amp;"","")</f>
        <v/>
      </c>
      <c r="K97" s="7" t="str">
        <f>IFERROR(INDEX(Modelos!$G$2:$G$301,MATCH($B97,Modelos!$C$2:$C$301,0))&amp;"","")</f>
        <v/>
      </c>
      <c r="L97" s="7" t="str">
        <f>IFERROR(INDEX(Diccionarios!$G$2:$G$201,MATCH($C97,Diccionarios!$H$2:$H$201,0))&amp;"","")</f>
        <v/>
      </c>
      <c r="M97" s="7" t="str">
        <f>IF(D97="","",D97&amp;"")</f>
        <v/>
      </c>
      <c r="N97" s="8" t="str">
        <f>IF($B97="","",IFERROR(INDEX(Modelos!$H$2:$H$301,MATCH($B97,Modelos!$C$2:$C$301,0)),""))</f>
        <v/>
      </c>
      <c r="O97" s="8" t="str">
        <f>IF($B97="","",IFERROR(INDEX(Modelos!$I$2:$I$301,MATCH($B97,Modelos!$C$2:$C$301,0)),""))</f>
        <v/>
      </c>
      <c r="P97" s="8" t="str">
        <f>IF($B97="","",IFERROR(INDEX(Modelos!$J$2:$J$301,MATCH($B97,Modelos!$C$2:$C$301,0)),""))</f>
        <v/>
      </c>
      <c r="Q97" s="7" t="str">
        <f>IFERROR(INDEX(Diccionarios!$B$2:$B$201,MATCH($A97,Diccionarios!$D$2:$D$201,0))&amp;"","")</f>
        <v/>
      </c>
      <c r="R97" s="7" t="str">
        <f>IFERROR(INDEX(Diccionarios!$C$2:$C$201,MATCH($A97,Diccionarios!$D$2:$D$201,0))&amp;"","")</f>
        <v/>
      </c>
      <c r="S97" s="7" t="str">
        <f>IFERROR(INDEX(Modelos!$K$2:$K$301,MATCH($B97,Modelos!$C$2:$C$301,0))&amp;"","")</f>
        <v/>
      </c>
      <c r="T97" s="7" t="str">
        <f>IFERROR(INDEX(Modelos!$L$2:$L$301,MATCH($B97,Modelos!$C$2:$C$301,0))&amp;"","")</f>
        <v/>
      </c>
    </row>
    <row r="98" spans="1:20" x14ac:dyDescent="0.25">
      <c r="A98" s="5"/>
      <c r="B98" s="5"/>
      <c r="C98" s="5"/>
      <c r="D98" s="6"/>
      <c r="E98" s="5"/>
      <c r="F98" s="7" t="str">
        <f>IF(AND(A98&lt;&gt;"",B98&lt;&gt;"",C98&lt;&gt;"",D98&lt;&gt;""),LEFT(A98,2)&amp;LEFT(B98,4)&amp;LEFT(C98,2)&amp;SUBSTITUTE(UPPER(D98),"Ú","U"),"")</f>
        <v/>
      </c>
      <c r="G98" s="7" t="str">
        <f>IFERROR(INDEX(Modelos!$B$2:$B$301,MATCH($B98,Modelos!$C$2:$C$301,0))&amp;"","")</f>
        <v/>
      </c>
      <c r="H98" s="7" t="str">
        <f>IFERROR(INDEX(Modelos!$D$2:$D$301,MATCH($B98,Modelos!$C$2:$C$301,0))&amp;"","")</f>
        <v/>
      </c>
      <c r="I98" s="7" t="str">
        <f>IFERROR(INDEX(Modelos!$E$2:$E$301,MATCH($B98,Modelos!$C$2:$C$301,0))&amp;"","")</f>
        <v/>
      </c>
      <c r="J98" s="7" t="str">
        <f>IFERROR(INDEX(Modelos!$F$2:$F$301,MATCH($B98,Modelos!$C$2:$C$301,0))&amp;"","")</f>
        <v/>
      </c>
      <c r="K98" s="7" t="str">
        <f>IFERROR(INDEX(Modelos!$G$2:$G$301,MATCH($B98,Modelos!$C$2:$C$301,0))&amp;"","")</f>
        <v/>
      </c>
      <c r="L98" s="7" t="str">
        <f>IFERROR(INDEX(Diccionarios!$G$2:$G$201,MATCH($C98,Diccionarios!$H$2:$H$201,0))&amp;"","")</f>
        <v/>
      </c>
      <c r="M98" s="7" t="str">
        <f>IF(D98="","",D98&amp;"")</f>
        <v/>
      </c>
      <c r="N98" s="8" t="str">
        <f>IF($B98="","",IFERROR(INDEX(Modelos!$H$2:$H$301,MATCH($B98,Modelos!$C$2:$C$301,0)),""))</f>
        <v/>
      </c>
      <c r="O98" s="8" t="str">
        <f>IF($B98="","",IFERROR(INDEX(Modelos!$I$2:$I$301,MATCH($B98,Modelos!$C$2:$C$301,0)),""))</f>
        <v/>
      </c>
      <c r="P98" s="8" t="str">
        <f>IF($B98="","",IFERROR(INDEX(Modelos!$J$2:$J$301,MATCH($B98,Modelos!$C$2:$C$301,0)),""))</f>
        <v/>
      </c>
      <c r="Q98" s="7" t="str">
        <f>IFERROR(INDEX(Diccionarios!$B$2:$B$201,MATCH($A98,Diccionarios!$D$2:$D$201,0))&amp;"","")</f>
        <v/>
      </c>
      <c r="R98" s="7" t="str">
        <f>IFERROR(INDEX(Diccionarios!$C$2:$C$201,MATCH($A98,Diccionarios!$D$2:$D$201,0))&amp;"","")</f>
        <v/>
      </c>
      <c r="S98" s="7" t="str">
        <f>IFERROR(INDEX(Modelos!$K$2:$K$301,MATCH($B98,Modelos!$C$2:$C$301,0))&amp;"","")</f>
        <v/>
      </c>
      <c r="T98" s="7" t="str">
        <f>IFERROR(INDEX(Modelos!$L$2:$L$301,MATCH($B98,Modelos!$C$2:$C$301,0))&amp;"","")</f>
        <v/>
      </c>
    </row>
    <row r="99" spans="1:20" x14ac:dyDescent="0.25">
      <c r="A99" s="5"/>
      <c r="B99" s="5"/>
      <c r="C99" s="5"/>
      <c r="D99" s="6"/>
      <c r="E99" s="5"/>
      <c r="F99" s="7" t="str">
        <f>IF(AND(A99&lt;&gt;"",B99&lt;&gt;"",C99&lt;&gt;"",D99&lt;&gt;""),LEFT(A99,2)&amp;LEFT(B99,4)&amp;LEFT(C99,2)&amp;SUBSTITUTE(UPPER(D99),"Ú","U"),"")</f>
        <v/>
      </c>
      <c r="G99" s="7" t="str">
        <f>IFERROR(INDEX(Modelos!$B$2:$B$301,MATCH($B99,Modelos!$C$2:$C$301,0))&amp;"","")</f>
        <v/>
      </c>
      <c r="H99" s="7" t="str">
        <f>IFERROR(INDEX(Modelos!$D$2:$D$301,MATCH($B99,Modelos!$C$2:$C$301,0))&amp;"","")</f>
        <v/>
      </c>
      <c r="I99" s="7" t="str">
        <f>IFERROR(INDEX(Modelos!$E$2:$E$301,MATCH($B99,Modelos!$C$2:$C$301,0))&amp;"","")</f>
        <v/>
      </c>
      <c r="J99" s="7" t="str">
        <f>IFERROR(INDEX(Modelos!$F$2:$F$301,MATCH($B99,Modelos!$C$2:$C$301,0))&amp;"","")</f>
        <v/>
      </c>
      <c r="K99" s="7" t="str">
        <f>IFERROR(INDEX(Modelos!$G$2:$G$301,MATCH($B99,Modelos!$C$2:$C$301,0))&amp;"","")</f>
        <v/>
      </c>
      <c r="L99" s="7" t="str">
        <f>IFERROR(INDEX(Diccionarios!$G$2:$G$201,MATCH($C99,Diccionarios!$H$2:$H$201,0))&amp;"","")</f>
        <v/>
      </c>
      <c r="M99" s="7" t="str">
        <f>IF(D99="","",D99&amp;"")</f>
        <v/>
      </c>
      <c r="N99" s="8" t="str">
        <f>IF($B99="","",IFERROR(INDEX(Modelos!$H$2:$H$301,MATCH($B99,Modelos!$C$2:$C$301,0)),""))</f>
        <v/>
      </c>
      <c r="O99" s="8" t="str">
        <f>IF($B99="","",IFERROR(INDEX(Modelos!$I$2:$I$301,MATCH($B99,Modelos!$C$2:$C$301,0)),""))</f>
        <v/>
      </c>
      <c r="P99" s="8" t="str">
        <f>IF($B99="","",IFERROR(INDEX(Modelos!$J$2:$J$301,MATCH($B99,Modelos!$C$2:$C$301,0)),""))</f>
        <v/>
      </c>
      <c r="Q99" s="7" t="str">
        <f>IFERROR(INDEX(Diccionarios!$B$2:$B$201,MATCH($A99,Diccionarios!$D$2:$D$201,0))&amp;"","")</f>
        <v/>
      </c>
      <c r="R99" s="7" t="str">
        <f>IFERROR(INDEX(Diccionarios!$C$2:$C$201,MATCH($A99,Diccionarios!$D$2:$D$201,0))&amp;"","")</f>
        <v/>
      </c>
      <c r="S99" s="7" t="str">
        <f>IFERROR(INDEX(Modelos!$K$2:$K$301,MATCH($B99,Modelos!$C$2:$C$301,0))&amp;"","")</f>
        <v/>
      </c>
      <c r="T99" s="7" t="str">
        <f>IFERROR(INDEX(Modelos!$L$2:$L$301,MATCH($B99,Modelos!$C$2:$C$301,0))&amp;"","")</f>
        <v/>
      </c>
    </row>
    <row r="100" spans="1:20" x14ac:dyDescent="0.25">
      <c r="A100" s="5"/>
      <c r="B100" s="5"/>
      <c r="C100" s="5"/>
      <c r="D100" s="6"/>
      <c r="E100" s="5"/>
      <c r="F100" s="7" t="str">
        <f>IF(AND(A100&lt;&gt;"",B100&lt;&gt;"",C100&lt;&gt;"",D100&lt;&gt;""),LEFT(A100,2)&amp;LEFT(B100,4)&amp;LEFT(C100,2)&amp;SUBSTITUTE(UPPER(D100),"Ú","U"),"")</f>
        <v/>
      </c>
      <c r="G100" s="7" t="str">
        <f>IFERROR(INDEX(Modelos!$B$2:$B$301,MATCH($B100,Modelos!$C$2:$C$301,0))&amp;"","")</f>
        <v/>
      </c>
      <c r="H100" s="7" t="str">
        <f>IFERROR(INDEX(Modelos!$D$2:$D$301,MATCH($B100,Modelos!$C$2:$C$301,0))&amp;"","")</f>
        <v/>
      </c>
      <c r="I100" s="7" t="str">
        <f>IFERROR(INDEX(Modelos!$E$2:$E$301,MATCH($B100,Modelos!$C$2:$C$301,0))&amp;"","")</f>
        <v/>
      </c>
      <c r="J100" s="7" t="str">
        <f>IFERROR(INDEX(Modelos!$F$2:$F$301,MATCH($B100,Modelos!$C$2:$C$301,0))&amp;"","")</f>
        <v/>
      </c>
      <c r="K100" s="7" t="str">
        <f>IFERROR(INDEX(Modelos!$G$2:$G$301,MATCH($B100,Modelos!$C$2:$C$301,0))&amp;"","")</f>
        <v/>
      </c>
      <c r="L100" s="7" t="str">
        <f>IFERROR(INDEX(Diccionarios!$G$2:$G$201,MATCH($C100,Diccionarios!$H$2:$H$201,0))&amp;"","")</f>
        <v/>
      </c>
      <c r="M100" s="7" t="str">
        <f>IF(D100="","",D100&amp;"")</f>
        <v/>
      </c>
      <c r="N100" s="8" t="str">
        <f>IF($B100="","",IFERROR(INDEX(Modelos!$H$2:$H$301,MATCH($B100,Modelos!$C$2:$C$301,0)),""))</f>
        <v/>
      </c>
      <c r="O100" s="8" t="str">
        <f>IF($B100="","",IFERROR(INDEX(Modelos!$I$2:$I$301,MATCH($B100,Modelos!$C$2:$C$301,0)),""))</f>
        <v/>
      </c>
      <c r="P100" s="8" t="str">
        <f>IF($B100="","",IFERROR(INDEX(Modelos!$J$2:$J$301,MATCH($B100,Modelos!$C$2:$C$301,0)),""))</f>
        <v/>
      </c>
      <c r="Q100" s="7" t="str">
        <f>IFERROR(INDEX(Diccionarios!$B$2:$B$201,MATCH($A100,Diccionarios!$D$2:$D$201,0))&amp;"","")</f>
        <v/>
      </c>
      <c r="R100" s="7" t="str">
        <f>IFERROR(INDEX(Diccionarios!$C$2:$C$201,MATCH($A100,Diccionarios!$D$2:$D$201,0))&amp;"","")</f>
        <v/>
      </c>
      <c r="S100" s="7" t="str">
        <f>IFERROR(INDEX(Modelos!$K$2:$K$301,MATCH($B100,Modelos!$C$2:$C$301,0))&amp;"","")</f>
        <v/>
      </c>
      <c r="T100" s="7" t="str">
        <f>IFERROR(INDEX(Modelos!$L$2:$L$301,MATCH($B100,Modelos!$C$2:$C$301,0))&amp;"","")</f>
        <v/>
      </c>
    </row>
    <row r="101" spans="1:20" x14ac:dyDescent="0.25">
      <c r="A101" s="5"/>
      <c r="B101" s="5"/>
      <c r="C101" s="5"/>
      <c r="D101" s="6"/>
      <c r="E101" s="5"/>
      <c r="F101" s="7" t="str">
        <f>IF(AND(A101&lt;&gt;"",B101&lt;&gt;"",C101&lt;&gt;"",D101&lt;&gt;""),LEFT(A101,2)&amp;LEFT(B101,4)&amp;LEFT(C101,2)&amp;SUBSTITUTE(UPPER(D101),"Ú","U"),"")</f>
        <v/>
      </c>
      <c r="G101" s="7" t="str">
        <f>IFERROR(INDEX(Modelos!$B$2:$B$301,MATCH($B101,Modelos!$C$2:$C$301,0))&amp;"","")</f>
        <v/>
      </c>
      <c r="H101" s="7" t="str">
        <f>IFERROR(INDEX(Modelos!$D$2:$D$301,MATCH($B101,Modelos!$C$2:$C$301,0))&amp;"","")</f>
        <v/>
      </c>
      <c r="I101" s="7" t="str">
        <f>IFERROR(INDEX(Modelos!$E$2:$E$301,MATCH($B101,Modelos!$C$2:$C$301,0))&amp;"","")</f>
        <v/>
      </c>
      <c r="J101" s="7" t="str">
        <f>IFERROR(INDEX(Modelos!$F$2:$F$301,MATCH($B101,Modelos!$C$2:$C$301,0))&amp;"","")</f>
        <v/>
      </c>
      <c r="K101" s="7" t="str">
        <f>IFERROR(INDEX(Modelos!$G$2:$G$301,MATCH($B101,Modelos!$C$2:$C$301,0))&amp;"","")</f>
        <v/>
      </c>
      <c r="L101" s="7" t="str">
        <f>IFERROR(INDEX(Diccionarios!$G$2:$G$201,MATCH($C101,Diccionarios!$H$2:$H$201,0))&amp;"","")</f>
        <v/>
      </c>
      <c r="M101" s="7" t="str">
        <f>IF(D101="","",D101&amp;"")</f>
        <v/>
      </c>
      <c r="N101" s="8" t="str">
        <f>IF($B101="","",IFERROR(INDEX(Modelos!$H$2:$H$301,MATCH($B101,Modelos!$C$2:$C$301,0)),""))</f>
        <v/>
      </c>
      <c r="O101" s="8" t="str">
        <f>IF($B101="","",IFERROR(INDEX(Modelos!$I$2:$I$301,MATCH($B101,Modelos!$C$2:$C$301,0)),""))</f>
        <v/>
      </c>
      <c r="P101" s="8" t="str">
        <f>IF($B101="","",IFERROR(INDEX(Modelos!$J$2:$J$301,MATCH($B101,Modelos!$C$2:$C$301,0)),""))</f>
        <v/>
      </c>
      <c r="Q101" s="7" t="str">
        <f>IFERROR(INDEX(Diccionarios!$B$2:$B$201,MATCH($A101,Diccionarios!$D$2:$D$201,0))&amp;"","")</f>
        <v/>
      </c>
      <c r="R101" s="7" t="str">
        <f>IFERROR(INDEX(Diccionarios!$C$2:$C$201,MATCH($A101,Diccionarios!$D$2:$D$201,0))&amp;"","")</f>
        <v/>
      </c>
      <c r="S101" s="7" t="str">
        <f>IFERROR(INDEX(Modelos!$K$2:$K$301,MATCH($B101,Modelos!$C$2:$C$301,0))&amp;"","")</f>
        <v/>
      </c>
      <c r="T101" s="7" t="str">
        <f>IFERROR(INDEX(Modelos!$L$2:$L$301,MATCH($B101,Modelos!$C$2:$C$301,0))&amp;"","")</f>
        <v/>
      </c>
    </row>
    <row r="102" spans="1:20" x14ac:dyDescent="0.25">
      <c r="A102" s="5"/>
      <c r="B102" s="5"/>
      <c r="C102" s="5"/>
      <c r="D102" s="6"/>
      <c r="E102" s="5"/>
      <c r="F102" s="7" t="str">
        <f>IF(AND(A102&lt;&gt;"",B102&lt;&gt;"",C102&lt;&gt;"",D102&lt;&gt;""),LEFT(A102,2)&amp;LEFT(B102,4)&amp;LEFT(C102,2)&amp;SUBSTITUTE(UPPER(D102),"Ú","U"),"")</f>
        <v/>
      </c>
      <c r="G102" s="7" t="str">
        <f>IFERROR(INDEX(Modelos!$B$2:$B$301,MATCH($B102,Modelos!$C$2:$C$301,0))&amp;"","")</f>
        <v/>
      </c>
      <c r="H102" s="7" t="str">
        <f>IFERROR(INDEX(Modelos!$D$2:$D$301,MATCH($B102,Modelos!$C$2:$C$301,0))&amp;"","")</f>
        <v/>
      </c>
      <c r="I102" s="7" t="str">
        <f>IFERROR(INDEX(Modelos!$E$2:$E$301,MATCH($B102,Modelos!$C$2:$C$301,0))&amp;"","")</f>
        <v/>
      </c>
      <c r="J102" s="7" t="str">
        <f>IFERROR(INDEX(Modelos!$F$2:$F$301,MATCH($B102,Modelos!$C$2:$C$301,0))&amp;"","")</f>
        <v/>
      </c>
      <c r="K102" s="7" t="str">
        <f>IFERROR(INDEX(Modelos!$G$2:$G$301,MATCH($B102,Modelos!$C$2:$C$301,0))&amp;"","")</f>
        <v/>
      </c>
      <c r="L102" s="7" t="str">
        <f>IFERROR(INDEX(Diccionarios!$G$2:$G$201,MATCH($C102,Diccionarios!$H$2:$H$201,0))&amp;"","")</f>
        <v/>
      </c>
      <c r="M102" s="7" t="str">
        <f>IF(D102="","",D102&amp;"")</f>
        <v/>
      </c>
      <c r="N102" s="8" t="str">
        <f>IF($B102="","",IFERROR(INDEX(Modelos!$H$2:$H$301,MATCH($B102,Modelos!$C$2:$C$301,0)),""))</f>
        <v/>
      </c>
      <c r="O102" s="8" t="str">
        <f>IF($B102="","",IFERROR(INDEX(Modelos!$I$2:$I$301,MATCH($B102,Modelos!$C$2:$C$301,0)),""))</f>
        <v/>
      </c>
      <c r="P102" s="8" t="str">
        <f>IF($B102="","",IFERROR(INDEX(Modelos!$J$2:$J$301,MATCH($B102,Modelos!$C$2:$C$301,0)),""))</f>
        <v/>
      </c>
      <c r="Q102" s="7" t="str">
        <f>IFERROR(INDEX(Diccionarios!$B$2:$B$201,MATCH($A102,Diccionarios!$D$2:$D$201,0))&amp;"","")</f>
        <v/>
      </c>
      <c r="R102" s="7" t="str">
        <f>IFERROR(INDEX(Diccionarios!$C$2:$C$201,MATCH($A102,Diccionarios!$D$2:$D$201,0))&amp;"","")</f>
        <v/>
      </c>
      <c r="S102" s="7" t="str">
        <f>IFERROR(INDEX(Modelos!$K$2:$K$301,MATCH($B102,Modelos!$C$2:$C$301,0))&amp;"","")</f>
        <v/>
      </c>
      <c r="T102" s="7" t="str">
        <f>IFERROR(INDEX(Modelos!$L$2:$L$301,MATCH($B102,Modelos!$C$2:$C$301,0))&amp;"","")</f>
        <v/>
      </c>
    </row>
    <row r="103" spans="1:20" x14ac:dyDescent="0.25">
      <c r="A103" s="5"/>
      <c r="B103" s="5"/>
      <c r="C103" s="5"/>
      <c r="D103" s="6"/>
      <c r="E103" s="5"/>
      <c r="F103" s="7" t="str">
        <f>IF(AND(A103&lt;&gt;"",B103&lt;&gt;"",C103&lt;&gt;"",D103&lt;&gt;""),LEFT(A103,2)&amp;LEFT(B103,4)&amp;LEFT(C103,2)&amp;SUBSTITUTE(UPPER(D103),"Ú","U"),"")</f>
        <v/>
      </c>
      <c r="G103" s="7" t="str">
        <f>IFERROR(INDEX(Modelos!$B$2:$B$301,MATCH($B103,Modelos!$C$2:$C$301,0))&amp;"","")</f>
        <v/>
      </c>
      <c r="H103" s="7" t="str">
        <f>IFERROR(INDEX(Modelos!$D$2:$D$301,MATCH($B103,Modelos!$C$2:$C$301,0))&amp;"","")</f>
        <v/>
      </c>
      <c r="I103" s="7" t="str">
        <f>IFERROR(INDEX(Modelos!$E$2:$E$301,MATCH($B103,Modelos!$C$2:$C$301,0))&amp;"","")</f>
        <v/>
      </c>
      <c r="J103" s="7" t="str">
        <f>IFERROR(INDEX(Modelos!$F$2:$F$301,MATCH($B103,Modelos!$C$2:$C$301,0))&amp;"","")</f>
        <v/>
      </c>
      <c r="K103" s="7" t="str">
        <f>IFERROR(INDEX(Modelos!$G$2:$G$301,MATCH($B103,Modelos!$C$2:$C$301,0))&amp;"","")</f>
        <v/>
      </c>
      <c r="L103" s="7" t="str">
        <f>IFERROR(INDEX(Diccionarios!$G$2:$G$201,MATCH($C103,Diccionarios!$H$2:$H$201,0))&amp;"","")</f>
        <v/>
      </c>
      <c r="M103" s="7" t="str">
        <f>IF(D103="","",D103&amp;"")</f>
        <v/>
      </c>
      <c r="N103" s="8" t="str">
        <f>IF($B103="","",IFERROR(INDEX(Modelos!$H$2:$H$301,MATCH($B103,Modelos!$C$2:$C$301,0)),""))</f>
        <v/>
      </c>
      <c r="O103" s="8" t="str">
        <f>IF($B103="","",IFERROR(INDEX(Modelos!$I$2:$I$301,MATCH($B103,Modelos!$C$2:$C$301,0)),""))</f>
        <v/>
      </c>
      <c r="P103" s="8" t="str">
        <f>IF($B103="","",IFERROR(INDEX(Modelos!$J$2:$J$301,MATCH($B103,Modelos!$C$2:$C$301,0)),""))</f>
        <v/>
      </c>
      <c r="Q103" s="7" t="str">
        <f>IFERROR(INDEX(Diccionarios!$B$2:$B$201,MATCH($A103,Diccionarios!$D$2:$D$201,0))&amp;"","")</f>
        <v/>
      </c>
      <c r="R103" s="7" t="str">
        <f>IFERROR(INDEX(Diccionarios!$C$2:$C$201,MATCH($A103,Diccionarios!$D$2:$D$201,0))&amp;"","")</f>
        <v/>
      </c>
      <c r="S103" s="7" t="str">
        <f>IFERROR(INDEX(Modelos!$K$2:$K$301,MATCH($B103,Modelos!$C$2:$C$301,0))&amp;"","")</f>
        <v/>
      </c>
      <c r="T103" s="7" t="str">
        <f>IFERROR(INDEX(Modelos!$L$2:$L$301,MATCH($B103,Modelos!$C$2:$C$301,0))&amp;"","")</f>
        <v/>
      </c>
    </row>
    <row r="104" spans="1:20" x14ac:dyDescent="0.25">
      <c r="A104" s="5"/>
      <c r="B104" s="5"/>
      <c r="C104" s="5"/>
      <c r="D104" s="6"/>
      <c r="E104" s="5"/>
      <c r="F104" s="7" t="str">
        <f>IF(AND(A104&lt;&gt;"",B104&lt;&gt;"",C104&lt;&gt;"",D104&lt;&gt;""),LEFT(A104,2)&amp;LEFT(B104,4)&amp;LEFT(C104,2)&amp;SUBSTITUTE(UPPER(D104),"Ú","U"),"")</f>
        <v/>
      </c>
      <c r="G104" s="7" t="str">
        <f>IFERROR(INDEX(Modelos!$B$2:$B$301,MATCH($B104,Modelos!$C$2:$C$301,0))&amp;"","")</f>
        <v/>
      </c>
      <c r="H104" s="7" t="str">
        <f>IFERROR(INDEX(Modelos!$D$2:$D$301,MATCH($B104,Modelos!$C$2:$C$301,0))&amp;"","")</f>
        <v/>
      </c>
      <c r="I104" s="7" t="str">
        <f>IFERROR(INDEX(Modelos!$E$2:$E$301,MATCH($B104,Modelos!$C$2:$C$301,0))&amp;"","")</f>
        <v/>
      </c>
      <c r="J104" s="7" t="str">
        <f>IFERROR(INDEX(Modelos!$F$2:$F$301,MATCH($B104,Modelos!$C$2:$C$301,0))&amp;"","")</f>
        <v/>
      </c>
      <c r="K104" s="7" t="str">
        <f>IFERROR(INDEX(Modelos!$G$2:$G$301,MATCH($B104,Modelos!$C$2:$C$301,0))&amp;"","")</f>
        <v/>
      </c>
      <c r="L104" s="7" t="str">
        <f>IFERROR(INDEX(Diccionarios!$G$2:$G$201,MATCH($C104,Diccionarios!$H$2:$H$201,0))&amp;"","")</f>
        <v/>
      </c>
      <c r="M104" s="7" t="str">
        <f>IF(D104="","",D104&amp;"")</f>
        <v/>
      </c>
      <c r="N104" s="8" t="str">
        <f>IF($B104="","",IFERROR(INDEX(Modelos!$H$2:$H$301,MATCH($B104,Modelos!$C$2:$C$301,0)),""))</f>
        <v/>
      </c>
      <c r="O104" s="8" t="str">
        <f>IF($B104="","",IFERROR(INDEX(Modelos!$I$2:$I$301,MATCH($B104,Modelos!$C$2:$C$301,0)),""))</f>
        <v/>
      </c>
      <c r="P104" s="8" t="str">
        <f>IF($B104="","",IFERROR(INDEX(Modelos!$J$2:$J$301,MATCH($B104,Modelos!$C$2:$C$301,0)),""))</f>
        <v/>
      </c>
      <c r="Q104" s="7" t="str">
        <f>IFERROR(INDEX(Diccionarios!$B$2:$B$201,MATCH($A104,Diccionarios!$D$2:$D$201,0))&amp;"","")</f>
        <v/>
      </c>
      <c r="R104" s="7" t="str">
        <f>IFERROR(INDEX(Diccionarios!$C$2:$C$201,MATCH($A104,Diccionarios!$D$2:$D$201,0))&amp;"","")</f>
        <v/>
      </c>
      <c r="S104" s="7" t="str">
        <f>IFERROR(INDEX(Modelos!$K$2:$K$301,MATCH($B104,Modelos!$C$2:$C$301,0))&amp;"","")</f>
        <v/>
      </c>
      <c r="T104" s="7" t="str">
        <f>IFERROR(INDEX(Modelos!$L$2:$L$301,MATCH($B104,Modelos!$C$2:$C$301,0))&amp;"","")</f>
        <v/>
      </c>
    </row>
    <row r="105" spans="1:20" x14ac:dyDescent="0.25">
      <c r="A105" s="5"/>
      <c r="B105" s="5"/>
      <c r="C105" s="5"/>
      <c r="D105" s="6"/>
      <c r="E105" s="5"/>
      <c r="F105" s="7" t="str">
        <f>IF(AND(A105&lt;&gt;"",B105&lt;&gt;"",C105&lt;&gt;"",D105&lt;&gt;""),LEFT(A105,2)&amp;LEFT(B105,4)&amp;LEFT(C105,2)&amp;SUBSTITUTE(UPPER(D105),"Ú","U"),"")</f>
        <v/>
      </c>
      <c r="G105" s="7" t="str">
        <f>IFERROR(INDEX(Modelos!$B$2:$B$301,MATCH($B105,Modelos!$C$2:$C$301,0))&amp;"","")</f>
        <v/>
      </c>
      <c r="H105" s="7" t="str">
        <f>IFERROR(INDEX(Modelos!$D$2:$D$301,MATCH($B105,Modelos!$C$2:$C$301,0))&amp;"","")</f>
        <v/>
      </c>
      <c r="I105" s="7" t="str">
        <f>IFERROR(INDEX(Modelos!$E$2:$E$301,MATCH($B105,Modelos!$C$2:$C$301,0))&amp;"","")</f>
        <v/>
      </c>
      <c r="J105" s="7" t="str">
        <f>IFERROR(INDEX(Modelos!$F$2:$F$301,MATCH($B105,Modelos!$C$2:$C$301,0))&amp;"","")</f>
        <v/>
      </c>
      <c r="K105" s="7" t="str">
        <f>IFERROR(INDEX(Modelos!$G$2:$G$301,MATCH($B105,Modelos!$C$2:$C$301,0))&amp;"","")</f>
        <v/>
      </c>
      <c r="L105" s="7" t="str">
        <f>IFERROR(INDEX(Diccionarios!$G$2:$G$201,MATCH($C105,Diccionarios!$H$2:$H$201,0))&amp;"","")</f>
        <v/>
      </c>
      <c r="M105" s="7" t="str">
        <f>IF(D105="","",D105&amp;"")</f>
        <v/>
      </c>
      <c r="N105" s="8" t="str">
        <f>IF($B105="","",IFERROR(INDEX(Modelos!$H$2:$H$301,MATCH($B105,Modelos!$C$2:$C$301,0)),""))</f>
        <v/>
      </c>
      <c r="O105" s="8" t="str">
        <f>IF($B105="","",IFERROR(INDEX(Modelos!$I$2:$I$301,MATCH($B105,Modelos!$C$2:$C$301,0)),""))</f>
        <v/>
      </c>
      <c r="P105" s="8" t="str">
        <f>IF($B105="","",IFERROR(INDEX(Modelos!$J$2:$J$301,MATCH($B105,Modelos!$C$2:$C$301,0)),""))</f>
        <v/>
      </c>
      <c r="Q105" s="7" t="str">
        <f>IFERROR(INDEX(Diccionarios!$B$2:$B$201,MATCH($A105,Diccionarios!$D$2:$D$201,0))&amp;"","")</f>
        <v/>
      </c>
      <c r="R105" s="7" t="str">
        <f>IFERROR(INDEX(Diccionarios!$C$2:$C$201,MATCH($A105,Diccionarios!$D$2:$D$201,0))&amp;"","")</f>
        <v/>
      </c>
      <c r="S105" s="7" t="str">
        <f>IFERROR(INDEX(Modelos!$K$2:$K$301,MATCH($B105,Modelos!$C$2:$C$301,0))&amp;"","")</f>
        <v/>
      </c>
      <c r="T105" s="7" t="str">
        <f>IFERROR(INDEX(Modelos!$L$2:$L$301,MATCH($B105,Modelos!$C$2:$C$301,0))&amp;"","")</f>
        <v/>
      </c>
    </row>
    <row r="106" spans="1:20" x14ac:dyDescent="0.25">
      <c r="A106" s="5"/>
      <c r="B106" s="5"/>
      <c r="C106" s="5"/>
      <c r="D106" s="6"/>
      <c r="E106" s="5"/>
      <c r="F106" s="7" t="str">
        <f>IF(AND(A106&lt;&gt;"",B106&lt;&gt;"",C106&lt;&gt;"",D106&lt;&gt;""),LEFT(A106,2)&amp;LEFT(B106,4)&amp;LEFT(C106,2)&amp;SUBSTITUTE(UPPER(D106),"Ú","U"),"")</f>
        <v/>
      </c>
      <c r="G106" s="7" t="str">
        <f>IFERROR(INDEX(Modelos!$B$2:$B$301,MATCH($B106,Modelos!$C$2:$C$301,0))&amp;"","")</f>
        <v/>
      </c>
      <c r="H106" s="7" t="str">
        <f>IFERROR(INDEX(Modelos!$D$2:$D$301,MATCH($B106,Modelos!$C$2:$C$301,0))&amp;"","")</f>
        <v/>
      </c>
      <c r="I106" s="7" t="str">
        <f>IFERROR(INDEX(Modelos!$E$2:$E$301,MATCH($B106,Modelos!$C$2:$C$301,0))&amp;"","")</f>
        <v/>
      </c>
      <c r="J106" s="7" t="str">
        <f>IFERROR(INDEX(Modelos!$F$2:$F$301,MATCH($B106,Modelos!$C$2:$C$301,0))&amp;"","")</f>
        <v/>
      </c>
      <c r="K106" s="7" t="str">
        <f>IFERROR(INDEX(Modelos!$G$2:$G$301,MATCH($B106,Modelos!$C$2:$C$301,0))&amp;"","")</f>
        <v/>
      </c>
      <c r="L106" s="7" t="str">
        <f>IFERROR(INDEX(Diccionarios!$G$2:$G$201,MATCH($C106,Diccionarios!$H$2:$H$201,0))&amp;"","")</f>
        <v/>
      </c>
      <c r="M106" s="7" t="str">
        <f>IF(D106="","",D106&amp;"")</f>
        <v/>
      </c>
      <c r="N106" s="8" t="str">
        <f>IF($B106="","",IFERROR(INDEX(Modelos!$H$2:$H$301,MATCH($B106,Modelos!$C$2:$C$301,0)),""))</f>
        <v/>
      </c>
      <c r="O106" s="8" t="str">
        <f>IF($B106="","",IFERROR(INDEX(Modelos!$I$2:$I$301,MATCH($B106,Modelos!$C$2:$C$301,0)),""))</f>
        <v/>
      </c>
      <c r="P106" s="8" t="str">
        <f>IF($B106="","",IFERROR(INDEX(Modelos!$J$2:$J$301,MATCH($B106,Modelos!$C$2:$C$301,0)),""))</f>
        <v/>
      </c>
      <c r="Q106" s="7" t="str">
        <f>IFERROR(INDEX(Diccionarios!$B$2:$B$201,MATCH($A106,Diccionarios!$D$2:$D$201,0))&amp;"","")</f>
        <v/>
      </c>
      <c r="R106" s="7" t="str">
        <f>IFERROR(INDEX(Diccionarios!$C$2:$C$201,MATCH($A106,Diccionarios!$D$2:$D$201,0))&amp;"","")</f>
        <v/>
      </c>
      <c r="S106" s="7" t="str">
        <f>IFERROR(INDEX(Modelos!$K$2:$K$301,MATCH($B106,Modelos!$C$2:$C$301,0))&amp;"","")</f>
        <v/>
      </c>
      <c r="T106" s="7" t="str">
        <f>IFERROR(INDEX(Modelos!$L$2:$L$301,MATCH($B106,Modelos!$C$2:$C$301,0))&amp;"","")</f>
        <v/>
      </c>
    </row>
    <row r="107" spans="1:20" x14ac:dyDescent="0.25">
      <c r="A107" s="5"/>
      <c r="B107" s="5"/>
      <c r="C107" s="5"/>
      <c r="D107" s="6"/>
      <c r="E107" s="5"/>
      <c r="F107" s="7" t="str">
        <f>IF(AND(A107&lt;&gt;"",B107&lt;&gt;"",C107&lt;&gt;"",D107&lt;&gt;""),LEFT(A107,2)&amp;LEFT(B107,4)&amp;LEFT(C107,2)&amp;SUBSTITUTE(UPPER(D107),"Ú","U"),"")</f>
        <v/>
      </c>
      <c r="G107" s="7" t="str">
        <f>IFERROR(INDEX(Modelos!$B$2:$B$301,MATCH($B107,Modelos!$C$2:$C$301,0))&amp;"","")</f>
        <v/>
      </c>
      <c r="H107" s="7" t="str">
        <f>IFERROR(INDEX(Modelos!$D$2:$D$301,MATCH($B107,Modelos!$C$2:$C$301,0))&amp;"","")</f>
        <v/>
      </c>
      <c r="I107" s="7" t="str">
        <f>IFERROR(INDEX(Modelos!$E$2:$E$301,MATCH($B107,Modelos!$C$2:$C$301,0))&amp;"","")</f>
        <v/>
      </c>
      <c r="J107" s="7" t="str">
        <f>IFERROR(INDEX(Modelos!$F$2:$F$301,MATCH($B107,Modelos!$C$2:$C$301,0))&amp;"","")</f>
        <v/>
      </c>
      <c r="K107" s="7" t="str">
        <f>IFERROR(INDEX(Modelos!$G$2:$G$301,MATCH($B107,Modelos!$C$2:$C$301,0))&amp;"","")</f>
        <v/>
      </c>
      <c r="L107" s="7" t="str">
        <f>IFERROR(INDEX(Diccionarios!$G$2:$G$201,MATCH($C107,Diccionarios!$H$2:$H$201,0))&amp;"","")</f>
        <v/>
      </c>
      <c r="M107" s="7" t="str">
        <f>IF(D107="","",D107&amp;"")</f>
        <v/>
      </c>
      <c r="N107" s="8" t="str">
        <f>IF($B107="","",IFERROR(INDEX(Modelos!$H$2:$H$301,MATCH($B107,Modelos!$C$2:$C$301,0)),""))</f>
        <v/>
      </c>
      <c r="O107" s="8" t="str">
        <f>IF($B107="","",IFERROR(INDEX(Modelos!$I$2:$I$301,MATCH($B107,Modelos!$C$2:$C$301,0)),""))</f>
        <v/>
      </c>
      <c r="P107" s="8" t="str">
        <f>IF($B107="","",IFERROR(INDEX(Modelos!$J$2:$J$301,MATCH($B107,Modelos!$C$2:$C$301,0)),""))</f>
        <v/>
      </c>
      <c r="Q107" s="7" t="str">
        <f>IFERROR(INDEX(Diccionarios!$B$2:$B$201,MATCH($A107,Diccionarios!$D$2:$D$201,0))&amp;"","")</f>
        <v/>
      </c>
      <c r="R107" s="7" t="str">
        <f>IFERROR(INDEX(Diccionarios!$C$2:$C$201,MATCH($A107,Diccionarios!$D$2:$D$201,0))&amp;"","")</f>
        <v/>
      </c>
      <c r="S107" s="7" t="str">
        <f>IFERROR(INDEX(Modelos!$K$2:$K$301,MATCH($B107,Modelos!$C$2:$C$301,0))&amp;"","")</f>
        <v/>
      </c>
      <c r="T107" s="7" t="str">
        <f>IFERROR(INDEX(Modelos!$L$2:$L$301,MATCH($B107,Modelos!$C$2:$C$301,0))&amp;"","")</f>
        <v/>
      </c>
    </row>
    <row r="108" spans="1:20" x14ac:dyDescent="0.25">
      <c r="A108" s="5"/>
      <c r="B108" s="5"/>
      <c r="C108" s="5"/>
      <c r="D108" s="6"/>
      <c r="E108" s="5"/>
      <c r="F108" s="7" t="str">
        <f>IF(AND(A108&lt;&gt;"",B108&lt;&gt;"",C108&lt;&gt;"",D108&lt;&gt;""),LEFT(A108,2)&amp;LEFT(B108,4)&amp;LEFT(C108,2)&amp;SUBSTITUTE(UPPER(D108),"Ú","U"),"")</f>
        <v/>
      </c>
      <c r="G108" s="7" t="str">
        <f>IFERROR(INDEX(Modelos!$B$2:$B$301,MATCH($B108,Modelos!$C$2:$C$301,0))&amp;"","")</f>
        <v/>
      </c>
      <c r="H108" s="7" t="str">
        <f>IFERROR(INDEX(Modelos!$D$2:$D$301,MATCH($B108,Modelos!$C$2:$C$301,0))&amp;"","")</f>
        <v/>
      </c>
      <c r="I108" s="7" t="str">
        <f>IFERROR(INDEX(Modelos!$E$2:$E$301,MATCH($B108,Modelos!$C$2:$C$301,0))&amp;"","")</f>
        <v/>
      </c>
      <c r="J108" s="7" t="str">
        <f>IFERROR(INDEX(Modelos!$F$2:$F$301,MATCH($B108,Modelos!$C$2:$C$301,0))&amp;"","")</f>
        <v/>
      </c>
      <c r="K108" s="7" t="str">
        <f>IFERROR(INDEX(Modelos!$G$2:$G$301,MATCH($B108,Modelos!$C$2:$C$301,0))&amp;"","")</f>
        <v/>
      </c>
      <c r="L108" s="7" t="str">
        <f>IFERROR(INDEX(Diccionarios!$G$2:$G$201,MATCH($C108,Diccionarios!$H$2:$H$201,0))&amp;"","")</f>
        <v/>
      </c>
      <c r="M108" s="7" t="str">
        <f>IF(D108="","",D108&amp;"")</f>
        <v/>
      </c>
      <c r="N108" s="8" t="str">
        <f>IF($B108="","",IFERROR(INDEX(Modelos!$H$2:$H$301,MATCH($B108,Modelos!$C$2:$C$301,0)),""))</f>
        <v/>
      </c>
      <c r="O108" s="8" t="str">
        <f>IF($B108="","",IFERROR(INDEX(Modelos!$I$2:$I$301,MATCH($B108,Modelos!$C$2:$C$301,0)),""))</f>
        <v/>
      </c>
      <c r="P108" s="8" t="str">
        <f>IF($B108="","",IFERROR(INDEX(Modelos!$J$2:$J$301,MATCH($B108,Modelos!$C$2:$C$301,0)),""))</f>
        <v/>
      </c>
      <c r="Q108" s="7" t="str">
        <f>IFERROR(INDEX(Diccionarios!$B$2:$B$201,MATCH($A108,Diccionarios!$D$2:$D$201,0))&amp;"","")</f>
        <v/>
      </c>
      <c r="R108" s="7" t="str">
        <f>IFERROR(INDEX(Diccionarios!$C$2:$C$201,MATCH($A108,Diccionarios!$D$2:$D$201,0))&amp;"","")</f>
        <v/>
      </c>
      <c r="S108" s="7" t="str">
        <f>IFERROR(INDEX(Modelos!$K$2:$K$301,MATCH($B108,Modelos!$C$2:$C$301,0))&amp;"","")</f>
        <v/>
      </c>
      <c r="T108" s="7" t="str">
        <f>IFERROR(INDEX(Modelos!$L$2:$L$301,MATCH($B108,Modelos!$C$2:$C$301,0))&amp;"","")</f>
        <v/>
      </c>
    </row>
    <row r="109" spans="1:20" x14ac:dyDescent="0.25">
      <c r="A109" s="5"/>
      <c r="B109" s="5"/>
      <c r="C109" s="5"/>
      <c r="D109" s="6"/>
      <c r="E109" s="5"/>
      <c r="F109" s="7" t="str">
        <f>IF(AND(A109&lt;&gt;"",B109&lt;&gt;"",C109&lt;&gt;"",D109&lt;&gt;""),LEFT(A109,2)&amp;LEFT(B109,4)&amp;LEFT(C109,2)&amp;SUBSTITUTE(UPPER(D109),"Ú","U"),"")</f>
        <v/>
      </c>
      <c r="G109" s="7" t="str">
        <f>IFERROR(INDEX(Modelos!$B$2:$B$301,MATCH($B109,Modelos!$C$2:$C$301,0))&amp;"","")</f>
        <v/>
      </c>
      <c r="H109" s="7" t="str">
        <f>IFERROR(INDEX(Modelos!$D$2:$D$301,MATCH($B109,Modelos!$C$2:$C$301,0))&amp;"","")</f>
        <v/>
      </c>
      <c r="I109" s="7" t="str">
        <f>IFERROR(INDEX(Modelos!$E$2:$E$301,MATCH($B109,Modelos!$C$2:$C$301,0))&amp;"","")</f>
        <v/>
      </c>
      <c r="J109" s="7" t="str">
        <f>IFERROR(INDEX(Modelos!$F$2:$F$301,MATCH($B109,Modelos!$C$2:$C$301,0))&amp;"","")</f>
        <v/>
      </c>
      <c r="K109" s="7" t="str">
        <f>IFERROR(INDEX(Modelos!$G$2:$G$301,MATCH($B109,Modelos!$C$2:$C$301,0))&amp;"","")</f>
        <v/>
      </c>
      <c r="L109" s="7" t="str">
        <f>IFERROR(INDEX(Diccionarios!$G$2:$G$201,MATCH($C109,Diccionarios!$H$2:$H$201,0))&amp;"","")</f>
        <v/>
      </c>
      <c r="M109" s="7" t="str">
        <f>IF(D109="","",D109&amp;"")</f>
        <v/>
      </c>
      <c r="N109" s="8" t="str">
        <f>IF($B109="","",IFERROR(INDEX(Modelos!$H$2:$H$301,MATCH($B109,Modelos!$C$2:$C$301,0)),""))</f>
        <v/>
      </c>
      <c r="O109" s="8" t="str">
        <f>IF($B109="","",IFERROR(INDEX(Modelos!$I$2:$I$301,MATCH($B109,Modelos!$C$2:$C$301,0)),""))</f>
        <v/>
      </c>
      <c r="P109" s="8" t="str">
        <f>IF($B109="","",IFERROR(INDEX(Modelos!$J$2:$J$301,MATCH($B109,Modelos!$C$2:$C$301,0)),""))</f>
        <v/>
      </c>
      <c r="Q109" s="7" t="str">
        <f>IFERROR(INDEX(Diccionarios!$B$2:$B$201,MATCH($A109,Diccionarios!$D$2:$D$201,0))&amp;"","")</f>
        <v/>
      </c>
      <c r="R109" s="7" t="str">
        <f>IFERROR(INDEX(Diccionarios!$C$2:$C$201,MATCH($A109,Diccionarios!$D$2:$D$201,0))&amp;"","")</f>
        <v/>
      </c>
      <c r="S109" s="7" t="str">
        <f>IFERROR(INDEX(Modelos!$K$2:$K$301,MATCH($B109,Modelos!$C$2:$C$301,0))&amp;"","")</f>
        <v/>
      </c>
      <c r="T109" s="7" t="str">
        <f>IFERROR(INDEX(Modelos!$L$2:$L$301,MATCH($B109,Modelos!$C$2:$C$301,0))&amp;"","")</f>
        <v/>
      </c>
    </row>
    <row r="110" spans="1:20" x14ac:dyDescent="0.25">
      <c r="A110" s="5"/>
      <c r="B110" s="5"/>
      <c r="C110" s="5"/>
      <c r="D110" s="6"/>
      <c r="E110" s="5"/>
      <c r="F110" s="7" t="str">
        <f>IF(AND(A110&lt;&gt;"",B110&lt;&gt;"",C110&lt;&gt;"",D110&lt;&gt;""),LEFT(A110,2)&amp;LEFT(B110,4)&amp;LEFT(C110,2)&amp;SUBSTITUTE(UPPER(D110),"Ú","U"),"")</f>
        <v/>
      </c>
      <c r="G110" s="7" t="str">
        <f>IFERROR(INDEX(Modelos!$B$2:$B$301,MATCH($B110,Modelos!$C$2:$C$301,0))&amp;"","")</f>
        <v/>
      </c>
      <c r="H110" s="7" t="str">
        <f>IFERROR(INDEX(Modelos!$D$2:$D$301,MATCH($B110,Modelos!$C$2:$C$301,0))&amp;"","")</f>
        <v/>
      </c>
      <c r="I110" s="7" t="str">
        <f>IFERROR(INDEX(Modelos!$E$2:$E$301,MATCH($B110,Modelos!$C$2:$C$301,0))&amp;"","")</f>
        <v/>
      </c>
      <c r="J110" s="7" t="str">
        <f>IFERROR(INDEX(Modelos!$F$2:$F$301,MATCH($B110,Modelos!$C$2:$C$301,0))&amp;"","")</f>
        <v/>
      </c>
      <c r="K110" s="7" t="str">
        <f>IFERROR(INDEX(Modelos!$G$2:$G$301,MATCH($B110,Modelos!$C$2:$C$301,0))&amp;"","")</f>
        <v/>
      </c>
      <c r="L110" s="7" t="str">
        <f>IFERROR(INDEX(Diccionarios!$G$2:$G$201,MATCH($C110,Diccionarios!$H$2:$H$201,0))&amp;"","")</f>
        <v/>
      </c>
      <c r="M110" s="7" t="str">
        <f>IF(D110="","",D110&amp;"")</f>
        <v/>
      </c>
      <c r="N110" s="8" t="str">
        <f>IF($B110="","",IFERROR(INDEX(Modelos!$H$2:$H$301,MATCH($B110,Modelos!$C$2:$C$301,0)),""))</f>
        <v/>
      </c>
      <c r="O110" s="8" t="str">
        <f>IF($B110="","",IFERROR(INDEX(Modelos!$I$2:$I$301,MATCH($B110,Modelos!$C$2:$C$301,0)),""))</f>
        <v/>
      </c>
      <c r="P110" s="8" t="str">
        <f>IF($B110="","",IFERROR(INDEX(Modelos!$J$2:$J$301,MATCH($B110,Modelos!$C$2:$C$301,0)),""))</f>
        <v/>
      </c>
      <c r="Q110" s="7" t="str">
        <f>IFERROR(INDEX(Diccionarios!$B$2:$B$201,MATCH($A110,Diccionarios!$D$2:$D$201,0))&amp;"","")</f>
        <v/>
      </c>
      <c r="R110" s="7" t="str">
        <f>IFERROR(INDEX(Diccionarios!$C$2:$C$201,MATCH($A110,Diccionarios!$D$2:$D$201,0))&amp;"","")</f>
        <v/>
      </c>
      <c r="S110" s="7" t="str">
        <f>IFERROR(INDEX(Modelos!$K$2:$K$301,MATCH($B110,Modelos!$C$2:$C$301,0))&amp;"","")</f>
        <v/>
      </c>
      <c r="T110" s="7" t="str">
        <f>IFERROR(INDEX(Modelos!$L$2:$L$301,MATCH($B110,Modelos!$C$2:$C$301,0))&amp;"","")</f>
        <v/>
      </c>
    </row>
    <row r="111" spans="1:20" x14ac:dyDescent="0.25">
      <c r="A111" s="5"/>
      <c r="B111" s="5"/>
      <c r="C111" s="5"/>
      <c r="D111" s="6"/>
      <c r="E111" s="5"/>
      <c r="F111" s="7" t="str">
        <f>IF(AND(A111&lt;&gt;"",B111&lt;&gt;"",C111&lt;&gt;"",D111&lt;&gt;""),LEFT(A111,2)&amp;LEFT(B111,4)&amp;LEFT(C111,2)&amp;SUBSTITUTE(UPPER(D111),"Ú","U"),"")</f>
        <v/>
      </c>
      <c r="G111" s="7" t="str">
        <f>IFERROR(INDEX(Modelos!$B$2:$B$301,MATCH($B111,Modelos!$C$2:$C$301,0))&amp;"","")</f>
        <v/>
      </c>
      <c r="H111" s="7" t="str">
        <f>IFERROR(INDEX(Modelos!$D$2:$D$301,MATCH($B111,Modelos!$C$2:$C$301,0))&amp;"","")</f>
        <v/>
      </c>
      <c r="I111" s="7" t="str">
        <f>IFERROR(INDEX(Modelos!$E$2:$E$301,MATCH($B111,Modelos!$C$2:$C$301,0))&amp;"","")</f>
        <v/>
      </c>
      <c r="J111" s="7" t="str">
        <f>IFERROR(INDEX(Modelos!$F$2:$F$301,MATCH($B111,Modelos!$C$2:$C$301,0))&amp;"","")</f>
        <v/>
      </c>
      <c r="K111" s="7" t="str">
        <f>IFERROR(INDEX(Modelos!$G$2:$G$301,MATCH($B111,Modelos!$C$2:$C$301,0))&amp;"","")</f>
        <v/>
      </c>
      <c r="L111" s="7" t="str">
        <f>IFERROR(INDEX(Diccionarios!$G$2:$G$201,MATCH($C111,Diccionarios!$H$2:$H$201,0))&amp;"","")</f>
        <v/>
      </c>
      <c r="M111" s="7" t="str">
        <f>IF(D111="","",D111&amp;"")</f>
        <v/>
      </c>
      <c r="N111" s="8" t="str">
        <f>IF($B111="","",IFERROR(INDEX(Modelos!$H$2:$H$301,MATCH($B111,Modelos!$C$2:$C$301,0)),""))</f>
        <v/>
      </c>
      <c r="O111" s="8" t="str">
        <f>IF($B111="","",IFERROR(INDEX(Modelos!$I$2:$I$301,MATCH($B111,Modelos!$C$2:$C$301,0)),""))</f>
        <v/>
      </c>
      <c r="P111" s="8" t="str">
        <f>IF($B111="","",IFERROR(INDEX(Modelos!$J$2:$J$301,MATCH($B111,Modelos!$C$2:$C$301,0)),""))</f>
        <v/>
      </c>
      <c r="Q111" s="7" t="str">
        <f>IFERROR(INDEX(Diccionarios!$B$2:$B$201,MATCH($A111,Diccionarios!$D$2:$D$201,0))&amp;"","")</f>
        <v/>
      </c>
      <c r="R111" s="7" t="str">
        <f>IFERROR(INDEX(Diccionarios!$C$2:$C$201,MATCH($A111,Diccionarios!$D$2:$D$201,0))&amp;"","")</f>
        <v/>
      </c>
      <c r="S111" s="7" t="str">
        <f>IFERROR(INDEX(Modelos!$K$2:$K$301,MATCH($B111,Modelos!$C$2:$C$301,0))&amp;"","")</f>
        <v/>
      </c>
      <c r="T111" s="7" t="str">
        <f>IFERROR(INDEX(Modelos!$L$2:$L$301,MATCH($B111,Modelos!$C$2:$C$301,0))&amp;"","")</f>
        <v/>
      </c>
    </row>
    <row r="112" spans="1:20" x14ac:dyDescent="0.25">
      <c r="A112" s="5"/>
      <c r="B112" s="5"/>
      <c r="C112" s="5"/>
      <c r="D112" s="6"/>
      <c r="E112" s="5"/>
      <c r="F112" s="7" t="str">
        <f>IF(AND(A112&lt;&gt;"",B112&lt;&gt;"",C112&lt;&gt;"",D112&lt;&gt;""),LEFT(A112,2)&amp;LEFT(B112,4)&amp;LEFT(C112,2)&amp;SUBSTITUTE(UPPER(D112),"Ú","U"),"")</f>
        <v/>
      </c>
      <c r="G112" s="7" t="str">
        <f>IFERROR(INDEX(Modelos!$B$2:$B$301,MATCH($B112,Modelos!$C$2:$C$301,0))&amp;"","")</f>
        <v/>
      </c>
      <c r="H112" s="7" t="str">
        <f>IFERROR(INDEX(Modelos!$D$2:$D$301,MATCH($B112,Modelos!$C$2:$C$301,0))&amp;"","")</f>
        <v/>
      </c>
      <c r="I112" s="7" t="str">
        <f>IFERROR(INDEX(Modelos!$E$2:$E$301,MATCH($B112,Modelos!$C$2:$C$301,0))&amp;"","")</f>
        <v/>
      </c>
      <c r="J112" s="7" t="str">
        <f>IFERROR(INDEX(Modelos!$F$2:$F$301,MATCH($B112,Modelos!$C$2:$C$301,0))&amp;"","")</f>
        <v/>
      </c>
      <c r="K112" s="7" t="str">
        <f>IFERROR(INDEX(Modelos!$G$2:$G$301,MATCH($B112,Modelos!$C$2:$C$301,0))&amp;"","")</f>
        <v/>
      </c>
      <c r="L112" s="7" t="str">
        <f>IFERROR(INDEX(Diccionarios!$G$2:$G$201,MATCH($C112,Diccionarios!$H$2:$H$201,0))&amp;"","")</f>
        <v/>
      </c>
      <c r="M112" s="7" t="str">
        <f>IF(D112="","",D112&amp;"")</f>
        <v/>
      </c>
      <c r="N112" s="8" t="str">
        <f>IF($B112="","",IFERROR(INDEX(Modelos!$H$2:$H$301,MATCH($B112,Modelos!$C$2:$C$301,0)),""))</f>
        <v/>
      </c>
      <c r="O112" s="8" t="str">
        <f>IF($B112="","",IFERROR(INDEX(Modelos!$I$2:$I$301,MATCH($B112,Modelos!$C$2:$C$301,0)),""))</f>
        <v/>
      </c>
      <c r="P112" s="8" t="str">
        <f>IF($B112="","",IFERROR(INDEX(Modelos!$J$2:$J$301,MATCH($B112,Modelos!$C$2:$C$301,0)),""))</f>
        <v/>
      </c>
      <c r="Q112" s="7" t="str">
        <f>IFERROR(INDEX(Diccionarios!$B$2:$B$201,MATCH($A112,Diccionarios!$D$2:$D$201,0))&amp;"","")</f>
        <v/>
      </c>
      <c r="R112" s="7" t="str">
        <f>IFERROR(INDEX(Diccionarios!$C$2:$C$201,MATCH($A112,Diccionarios!$D$2:$D$201,0))&amp;"","")</f>
        <v/>
      </c>
      <c r="S112" s="7" t="str">
        <f>IFERROR(INDEX(Modelos!$K$2:$K$301,MATCH($B112,Modelos!$C$2:$C$301,0))&amp;"","")</f>
        <v/>
      </c>
      <c r="T112" s="7" t="str">
        <f>IFERROR(INDEX(Modelos!$L$2:$L$301,MATCH($B112,Modelos!$C$2:$C$301,0))&amp;"","")</f>
        <v/>
      </c>
    </row>
    <row r="113" spans="1:20" x14ac:dyDescent="0.25">
      <c r="A113" s="5"/>
      <c r="B113" s="5"/>
      <c r="C113" s="5"/>
      <c r="D113" s="6"/>
      <c r="E113" s="5"/>
      <c r="F113" s="7" t="str">
        <f>IF(AND(A113&lt;&gt;"",B113&lt;&gt;"",C113&lt;&gt;"",D113&lt;&gt;""),LEFT(A113,2)&amp;LEFT(B113,4)&amp;LEFT(C113,2)&amp;SUBSTITUTE(UPPER(D113),"Ú","U"),"")</f>
        <v/>
      </c>
      <c r="G113" s="7" t="str">
        <f>IFERROR(INDEX(Modelos!$B$2:$B$301,MATCH($B113,Modelos!$C$2:$C$301,0))&amp;"","")</f>
        <v/>
      </c>
      <c r="H113" s="7" t="str">
        <f>IFERROR(INDEX(Modelos!$D$2:$D$301,MATCH($B113,Modelos!$C$2:$C$301,0))&amp;"","")</f>
        <v/>
      </c>
      <c r="I113" s="7" t="str">
        <f>IFERROR(INDEX(Modelos!$E$2:$E$301,MATCH($B113,Modelos!$C$2:$C$301,0))&amp;"","")</f>
        <v/>
      </c>
      <c r="J113" s="7" t="str">
        <f>IFERROR(INDEX(Modelos!$F$2:$F$301,MATCH($B113,Modelos!$C$2:$C$301,0))&amp;"","")</f>
        <v/>
      </c>
      <c r="K113" s="7" t="str">
        <f>IFERROR(INDEX(Modelos!$G$2:$G$301,MATCH($B113,Modelos!$C$2:$C$301,0))&amp;"","")</f>
        <v/>
      </c>
      <c r="L113" s="7" t="str">
        <f>IFERROR(INDEX(Diccionarios!$G$2:$G$201,MATCH($C113,Diccionarios!$H$2:$H$201,0))&amp;"","")</f>
        <v/>
      </c>
      <c r="M113" s="7" t="str">
        <f>IF(D113="","",D113&amp;"")</f>
        <v/>
      </c>
      <c r="N113" s="8" t="str">
        <f>IF($B113="","",IFERROR(INDEX(Modelos!$H$2:$H$301,MATCH($B113,Modelos!$C$2:$C$301,0)),""))</f>
        <v/>
      </c>
      <c r="O113" s="8" t="str">
        <f>IF($B113="","",IFERROR(INDEX(Modelos!$I$2:$I$301,MATCH($B113,Modelos!$C$2:$C$301,0)),""))</f>
        <v/>
      </c>
      <c r="P113" s="8" t="str">
        <f>IF($B113="","",IFERROR(INDEX(Modelos!$J$2:$J$301,MATCH($B113,Modelos!$C$2:$C$301,0)),""))</f>
        <v/>
      </c>
      <c r="Q113" s="7" t="str">
        <f>IFERROR(INDEX(Diccionarios!$B$2:$B$201,MATCH($A113,Diccionarios!$D$2:$D$201,0))&amp;"","")</f>
        <v/>
      </c>
      <c r="R113" s="7" t="str">
        <f>IFERROR(INDEX(Diccionarios!$C$2:$C$201,MATCH($A113,Diccionarios!$D$2:$D$201,0))&amp;"","")</f>
        <v/>
      </c>
      <c r="S113" s="7" t="str">
        <f>IFERROR(INDEX(Modelos!$K$2:$K$301,MATCH($B113,Modelos!$C$2:$C$301,0))&amp;"","")</f>
        <v/>
      </c>
      <c r="T113" s="7" t="str">
        <f>IFERROR(INDEX(Modelos!$L$2:$L$301,MATCH($B113,Modelos!$C$2:$C$301,0))&amp;"","")</f>
        <v/>
      </c>
    </row>
    <row r="114" spans="1:20" x14ac:dyDescent="0.25">
      <c r="A114" s="5"/>
      <c r="B114" s="5"/>
      <c r="C114" s="5"/>
      <c r="D114" s="6"/>
      <c r="E114" s="5"/>
      <c r="F114" s="7" t="str">
        <f>IF(AND(A114&lt;&gt;"",B114&lt;&gt;"",C114&lt;&gt;"",D114&lt;&gt;""),LEFT(A114,2)&amp;LEFT(B114,4)&amp;LEFT(C114,2)&amp;SUBSTITUTE(UPPER(D114),"Ú","U"),"")</f>
        <v/>
      </c>
      <c r="G114" s="7" t="str">
        <f>IFERROR(INDEX(Modelos!$B$2:$B$301,MATCH($B114,Modelos!$C$2:$C$301,0))&amp;"","")</f>
        <v/>
      </c>
      <c r="H114" s="7" t="str">
        <f>IFERROR(INDEX(Modelos!$D$2:$D$301,MATCH($B114,Modelos!$C$2:$C$301,0))&amp;"","")</f>
        <v/>
      </c>
      <c r="I114" s="7" t="str">
        <f>IFERROR(INDEX(Modelos!$E$2:$E$301,MATCH($B114,Modelos!$C$2:$C$301,0))&amp;"","")</f>
        <v/>
      </c>
      <c r="J114" s="7" t="str">
        <f>IFERROR(INDEX(Modelos!$F$2:$F$301,MATCH($B114,Modelos!$C$2:$C$301,0))&amp;"","")</f>
        <v/>
      </c>
      <c r="K114" s="7" t="str">
        <f>IFERROR(INDEX(Modelos!$G$2:$G$301,MATCH($B114,Modelos!$C$2:$C$301,0))&amp;"","")</f>
        <v/>
      </c>
      <c r="L114" s="7" t="str">
        <f>IFERROR(INDEX(Diccionarios!$G$2:$G$201,MATCH($C114,Diccionarios!$H$2:$H$201,0))&amp;"","")</f>
        <v/>
      </c>
      <c r="M114" s="7" t="str">
        <f>IF(D114="","",D114&amp;"")</f>
        <v/>
      </c>
      <c r="N114" s="8" t="str">
        <f>IF($B114="","",IFERROR(INDEX(Modelos!$H$2:$H$301,MATCH($B114,Modelos!$C$2:$C$301,0)),""))</f>
        <v/>
      </c>
      <c r="O114" s="8" t="str">
        <f>IF($B114="","",IFERROR(INDEX(Modelos!$I$2:$I$301,MATCH($B114,Modelos!$C$2:$C$301,0)),""))</f>
        <v/>
      </c>
      <c r="P114" s="8" t="str">
        <f>IF($B114="","",IFERROR(INDEX(Modelos!$J$2:$J$301,MATCH($B114,Modelos!$C$2:$C$301,0)),""))</f>
        <v/>
      </c>
      <c r="Q114" s="7" t="str">
        <f>IFERROR(INDEX(Diccionarios!$B$2:$B$201,MATCH($A114,Diccionarios!$D$2:$D$201,0))&amp;"","")</f>
        <v/>
      </c>
      <c r="R114" s="7" t="str">
        <f>IFERROR(INDEX(Diccionarios!$C$2:$C$201,MATCH($A114,Diccionarios!$D$2:$D$201,0))&amp;"","")</f>
        <v/>
      </c>
      <c r="S114" s="7" t="str">
        <f>IFERROR(INDEX(Modelos!$K$2:$K$301,MATCH($B114,Modelos!$C$2:$C$301,0))&amp;"","")</f>
        <v/>
      </c>
      <c r="T114" s="7" t="str">
        <f>IFERROR(INDEX(Modelos!$L$2:$L$301,MATCH($B114,Modelos!$C$2:$C$301,0))&amp;"","")</f>
        <v/>
      </c>
    </row>
    <row r="115" spans="1:20" x14ac:dyDescent="0.25">
      <c r="A115" s="5"/>
      <c r="B115" s="5"/>
      <c r="C115" s="5"/>
      <c r="D115" s="6"/>
      <c r="E115" s="5"/>
      <c r="F115" s="7" t="str">
        <f>IF(AND(A115&lt;&gt;"",B115&lt;&gt;"",C115&lt;&gt;"",D115&lt;&gt;""),LEFT(A115,2)&amp;LEFT(B115,4)&amp;LEFT(C115,2)&amp;SUBSTITUTE(UPPER(D115),"Ú","U"),"")</f>
        <v/>
      </c>
      <c r="G115" s="7" t="str">
        <f>IFERROR(INDEX(Modelos!$B$2:$B$301,MATCH($B115,Modelos!$C$2:$C$301,0))&amp;"","")</f>
        <v/>
      </c>
      <c r="H115" s="7" t="str">
        <f>IFERROR(INDEX(Modelos!$D$2:$D$301,MATCH($B115,Modelos!$C$2:$C$301,0))&amp;"","")</f>
        <v/>
      </c>
      <c r="I115" s="7" t="str">
        <f>IFERROR(INDEX(Modelos!$E$2:$E$301,MATCH($B115,Modelos!$C$2:$C$301,0))&amp;"","")</f>
        <v/>
      </c>
      <c r="J115" s="7" t="str">
        <f>IFERROR(INDEX(Modelos!$F$2:$F$301,MATCH($B115,Modelos!$C$2:$C$301,0))&amp;"","")</f>
        <v/>
      </c>
      <c r="K115" s="7" t="str">
        <f>IFERROR(INDEX(Modelos!$G$2:$G$301,MATCH($B115,Modelos!$C$2:$C$301,0))&amp;"","")</f>
        <v/>
      </c>
      <c r="L115" s="7" t="str">
        <f>IFERROR(INDEX(Diccionarios!$G$2:$G$201,MATCH($C115,Diccionarios!$H$2:$H$201,0))&amp;"","")</f>
        <v/>
      </c>
      <c r="M115" s="7" t="str">
        <f>IF(D115="","",D115&amp;"")</f>
        <v/>
      </c>
      <c r="N115" s="8" t="str">
        <f>IF($B115="","",IFERROR(INDEX(Modelos!$H$2:$H$301,MATCH($B115,Modelos!$C$2:$C$301,0)),""))</f>
        <v/>
      </c>
      <c r="O115" s="8" t="str">
        <f>IF($B115="","",IFERROR(INDEX(Modelos!$I$2:$I$301,MATCH($B115,Modelos!$C$2:$C$301,0)),""))</f>
        <v/>
      </c>
      <c r="P115" s="8" t="str">
        <f>IF($B115="","",IFERROR(INDEX(Modelos!$J$2:$J$301,MATCH($B115,Modelos!$C$2:$C$301,0)),""))</f>
        <v/>
      </c>
      <c r="Q115" s="7" t="str">
        <f>IFERROR(INDEX(Diccionarios!$B$2:$B$201,MATCH($A115,Diccionarios!$D$2:$D$201,0))&amp;"","")</f>
        <v/>
      </c>
      <c r="R115" s="7" t="str">
        <f>IFERROR(INDEX(Diccionarios!$C$2:$C$201,MATCH($A115,Diccionarios!$D$2:$D$201,0))&amp;"","")</f>
        <v/>
      </c>
      <c r="S115" s="7" t="str">
        <f>IFERROR(INDEX(Modelos!$K$2:$K$301,MATCH($B115,Modelos!$C$2:$C$301,0))&amp;"","")</f>
        <v/>
      </c>
      <c r="T115" s="7" t="str">
        <f>IFERROR(INDEX(Modelos!$L$2:$L$301,MATCH($B115,Modelos!$C$2:$C$301,0))&amp;"","")</f>
        <v/>
      </c>
    </row>
    <row r="116" spans="1:20" x14ac:dyDescent="0.25">
      <c r="A116" s="5"/>
      <c r="B116" s="5"/>
      <c r="C116" s="5"/>
      <c r="D116" s="6"/>
      <c r="E116" s="5"/>
      <c r="F116" s="7" t="str">
        <f>IF(AND(A116&lt;&gt;"",B116&lt;&gt;"",C116&lt;&gt;"",D116&lt;&gt;""),LEFT(A116,2)&amp;LEFT(B116,4)&amp;LEFT(C116,2)&amp;SUBSTITUTE(UPPER(D116),"Ú","U"),"")</f>
        <v/>
      </c>
      <c r="G116" s="7" t="str">
        <f>IFERROR(INDEX(Modelos!$B$2:$B$301,MATCH($B116,Modelos!$C$2:$C$301,0))&amp;"","")</f>
        <v/>
      </c>
      <c r="H116" s="7" t="str">
        <f>IFERROR(INDEX(Modelos!$D$2:$D$301,MATCH($B116,Modelos!$C$2:$C$301,0))&amp;"","")</f>
        <v/>
      </c>
      <c r="I116" s="7" t="str">
        <f>IFERROR(INDEX(Modelos!$E$2:$E$301,MATCH($B116,Modelos!$C$2:$C$301,0))&amp;"","")</f>
        <v/>
      </c>
      <c r="J116" s="7" t="str">
        <f>IFERROR(INDEX(Modelos!$F$2:$F$301,MATCH($B116,Modelos!$C$2:$C$301,0))&amp;"","")</f>
        <v/>
      </c>
      <c r="K116" s="7" t="str">
        <f>IFERROR(INDEX(Modelos!$G$2:$G$301,MATCH($B116,Modelos!$C$2:$C$301,0))&amp;"","")</f>
        <v/>
      </c>
      <c r="L116" s="7" t="str">
        <f>IFERROR(INDEX(Diccionarios!$G$2:$G$201,MATCH($C116,Diccionarios!$H$2:$H$201,0))&amp;"","")</f>
        <v/>
      </c>
      <c r="M116" s="7" t="str">
        <f>IF(D116="","",D116&amp;"")</f>
        <v/>
      </c>
      <c r="N116" s="8" t="str">
        <f>IF($B116="","",IFERROR(INDEX(Modelos!$H$2:$H$301,MATCH($B116,Modelos!$C$2:$C$301,0)),""))</f>
        <v/>
      </c>
      <c r="O116" s="8" t="str">
        <f>IF($B116="","",IFERROR(INDEX(Modelos!$I$2:$I$301,MATCH($B116,Modelos!$C$2:$C$301,0)),""))</f>
        <v/>
      </c>
      <c r="P116" s="8" t="str">
        <f>IF($B116="","",IFERROR(INDEX(Modelos!$J$2:$J$301,MATCH($B116,Modelos!$C$2:$C$301,0)),""))</f>
        <v/>
      </c>
      <c r="Q116" s="7" t="str">
        <f>IFERROR(INDEX(Diccionarios!$B$2:$B$201,MATCH($A116,Diccionarios!$D$2:$D$201,0))&amp;"","")</f>
        <v/>
      </c>
      <c r="R116" s="7" t="str">
        <f>IFERROR(INDEX(Diccionarios!$C$2:$C$201,MATCH($A116,Diccionarios!$D$2:$D$201,0))&amp;"","")</f>
        <v/>
      </c>
      <c r="S116" s="7" t="str">
        <f>IFERROR(INDEX(Modelos!$K$2:$K$301,MATCH($B116,Modelos!$C$2:$C$301,0))&amp;"","")</f>
        <v/>
      </c>
      <c r="T116" s="7" t="str">
        <f>IFERROR(INDEX(Modelos!$L$2:$L$301,MATCH($B116,Modelos!$C$2:$C$301,0))&amp;"","")</f>
        <v/>
      </c>
    </row>
    <row r="117" spans="1:20" x14ac:dyDescent="0.25">
      <c r="A117" s="5"/>
      <c r="B117" s="5"/>
      <c r="C117" s="5"/>
      <c r="D117" s="6"/>
      <c r="E117" s="5"/>
      <c r="F117" s="7" t="str">
        <f>IF(AND(A117&lt;&gt;"",B117&lt;&gt;"",C117&lt;&gt;"",D117&lt;&gt;""),LEFT(A117,2)&amp;LEFT(B117,4)&amp;LEFT(C117,2)&amp;SUBSTITUTE(UPPER(D117),"Ú","U"),"")</f>
        <v/>
      </c>
      <c r="G117" s="7" t="str">
        <f>IFERROR(INDEX(Modelos!$B$2:$B$301,MATCH($B117,Modelos!$C$2:$C$301,0))&amp;"","")</f>
        <v/>
      </c>
      <c r="H117" s="7" t="str">
        <f>IFERROR(INDEX(Modelos!$D$2:$D$301,MATCH($B117,Modelos!$C$2:$C$301,0))&amp;"","")</f>
        <v/>
      </c>
      <c r="I117" s="7" t="str">
        <f>IFERROR(INDEX(Modelos!$E$2:$E$301,MATCH($B117,Modelos!$C$2:$C$301,0))&amp;"","")</f>
        <v/>
      </c>
      <c r="J117" s="7" t="str">
        <f>IFERROR(INDEX(Modelos!$F$2:$F$301,MATCH($B117,Modelos!$C$2:$C$301,0))&amp;"","")</f>
        <v/>
      </c>
      <c r="K117" s="7" t="str">
        <f>IFERROR(INDEX(Modelos!$G$2:$G$301,MATCH($B117,Modelos!$C$2:$C$301,0))&amp;"","")</f>
        <v/>
      </c>
      <c r="L117" s="7" t="str">
        <f>IFERROR(INDEX(Diccionarios!$G$2:$G$201,MATCH($C117,Diccionarios!$H$2:$H$201,0))&amp;"","")</f>
        <v/>
      </c>
      <c r="M117" s="7" t="str">
        <f>IF(D117="","",D117&amp;"")</f>
        <v/>
      </c>
      <c r="N117" s="8" t="str">
        <f>IF($B117="","",IFERROR(INDEX(Modelos!$H$2:$H$301,MATCH($B117,Modelos!$C$2:$C$301,0)),""))</f>
        <v/>
      </c>
      <c r="O117" s="8" t="str">
        <f>IF($B117="","",IFERROR(INDEX(Modelos!$I$2:$I$301,MATCH($B117,Modelos!$C$2:$C$301,0)),""))</f>
        <v/>
      </c>
      <c r="P117" s="8" t="str">
        <f>IF($B117="","",IFERROR(INDEX(Modelos!$J$2:$J$301,MATCH($B117,Modelos!$C$2:$C$301,0)),""))</f>
        <v/>
      </c>
      <c r="Q117" s="7" t="str">
        <f>IFERROR(INDEX(Diccionarios!$B$2:$B$201,MATCH($A117,Diccionarios!$D$2:$D$201,0))&amp;"","")</f>
        <v/>
      </c>
      <c r="R117" s="7" t="str">
        <f>IFERROR(INDEX(Diccionarios!$C$2:$C$201,MATCH($A117,Diccionarios!$D$2:$D$201,0))&amp;"","")</f>
        <v/>
      </c>
      <c r="S117" s="7" t="str">
        <f>IFERROR(INDEX(Modelos!$K$2:$K$301,MATCH($B117,Modelos!$C$2:$C$301,0))&amp;"","")</f>
        <v/>
      </c>
      <c r="T117" s="7" t="str">
        <f>IFERROR(INDEX(Modelos!$L$2:$L$301,MATCH($B117,Modelos!$C$2:$C$301,0))&amp;"","")</f>
        <v/>
      </c>
    </row>
    <row r="118" spans="1:20" x14ac:dyDescent="0.25">
      <c r="A118" s="5"/>
      <c r="B118" s="5"/>
      <c r="C118" s="5"/>
      <c r="D118" s="6"/>
      <c r="E118" s="5"/>
      <c r="F118" s="7" t="str">
        <f>IF(AND(A118&lt;&gt;"",B118&lt;&gt;"",C118&lt;&gt;"",D118&lt;&gt;""),LEFT(A118,2)&amp;LEFT(B118,4)&amp;LEFT(C118,2)&amp;SUBSTITUTE(UPPER(D118),"Ú","U"),"")</f>
        <v/>
      </c>
      <c r="G118" s="7" t="str">
        <f>IFERROR(INDEX(Modelos!$B$2:$B$301,MATCH($B118,Modelos!$C$2:$C$301,0))&amp;"","")</f>
        <v/>
      </c>
      <c r="H118" s="7" t="str">
        <f>IFERROR(INDEX(Modelos!$D$2:$D$301,MATCH($B118,Modelos!$C$2:$C$301,0))&amp;"","")</f>
        <v/>
      </c>
      <c r="I118" s="7" t="str">
        <f>IFERROR(INDEX(Modelos!$E$2:$E$301,MATCH($B118,Modelos!$C$2:$C$301,0))&amp;"","")</f>
        <v/>
      </c>
      <c r="J118" s="7" t="str">
        <f>IFERROR(INDEX(Modelos!$F$2:$F$301,MATCH($B118,Modelos!$C$2:$C$301,0))&amp;"","")</f>
        <v/>
      </c>
      <c r="K118" s="7" t="str">
        <f>IFERROR(INDEX(Modelos!$G$2:$G$301,MATCH($B118,Modelos!$C$2:$C$301,0))&amp;"","")</f>
        <v/>
      </c>
      <c r="L118" s="7" t="str">
        <f>IFERROR(INDEX(Diccionarios!$G$2:$G$201,MATCH($C118,Diccionarios!$H$2:$H$201,0))&amp;"","")</f>
        <v/>
      </c>
      <c r="M118" s="7" t="str">
        <f>IF(D118="","",D118&amp;"")</f>
        <v/>
      </c>
      <c r="N118" s="8" t="str">
        <f>IF($B118="","",IFERROR(INDEX(Modelos!$H$2:$H$301,MATCH($B118,Modelos!$C$2:$C$301,0)),""))</f>
        <v/>
      </c>
      <c r="O118" s="8" t="str">
        <f>IF($B118="","",IFERROR(INDEX(Modelos!$I$2:$I$301,MATCH($B118,Modelos!$C$2:$C$301,0)),""))</f>
        <v/>
      </c>
      <c r="P118" s="8" t="str">
        <f>IF($B118="","",IFERROR(INDEX(Modelos!$J$2:$J$301,MATCH($B118,Modelos!$C$2:$C$301,0)),""))</f>
        <v/>
      </c>
      <c r="Q118" s="7" t="str">
        <f>IFERROR(INDEX(Diccionarios!$B$2:$B$201,MATCH($A118,Diccionarios!$D$2:$D$201,0))&amp;"","")</f>
        <v/>
      </c>
      <c r="R118" s="7" t="str">
        <f>IFERROR(INDEX(Diccionarios!$C$2:$C$201,MATCH($A118,Diccionarios!$D$2:$D$201,0))&amp;"","")</f>
        <v/>
      </c>
      <c r="S118" s="7" t="str">
        <f>IFERROR(INDEX(Modelos!$K$2:$K$301,MATCH($B118,Modelos!$C$2:$C$301,0))&amp;"","")</f>
        <v/>
      </c>
      <c r="T118" s="7" t="str">
        <f>IFERROR(INDEX(Modelos!$L$2:$L$301,MATCH($B118,Modelos!$C$2:$C$301,0))&amp;"","")</f>
        <v/>
      </c>
    </row>
    <row r="119" spans="1:20" x14ac:dyDescent="0.25">
      <c r="A119" s="5"/>
      <c r="B119" s="5"/>
      <c r="C119" s="5"/>
      <c r="D119" s="6"/>
      <c r="E119" s="5"/>
      <c r="F119" s="7" t="str">
        <f>IF(AND(A119&lt;&gt;"",B119&lt;&gt;"",C119&lt;&gt;"",D119&lt;&gt;""),LEFT(A119,2)&amp;LEFT(B119,4)&amp;LEFT(C119,2)&amp;SUBSTITUTE(UPPER(D119),"Ú","U"),"")</f>
        <v/>
      </c>
      <c r="G119" s="7" t="str">
        <f>IFERROR(INDEX(Modelos!$B$2:$B$301,MATCH($B119,Modelos!$C$2:$C$301,0))&amp;"","")</f>
        <v/>
      </c>
      <c r="H119" s="7" t="str">
        <f>IFERROR(INDEX(Modelos!$D$2:$D$301,MATCH($B119,Modelos!$C$2:$C$301,0))&amp;"","")</f>
        <v/>
      </c>
      <c r="I119" s="7" t="str">
        <f>IFERROR(INDEX(Modelos!$E$2:$E$301,MATCH($B119,Modelos!$C$2:$C$301,0))&amp;"","")</f>
        <v/>
      </c>
      <c r="J119" s="7" t="str">
        <f>IFERROR(INDEX(Modelos!$F$2:$F$301,MATCH($B119,Modelos!$C$2:$C$301,0))&amp;"","")</f>
        <v/>
      </c>
      <c r="K119" s="7" t="str">
        <f>IFERROR(INDEX(Modelos!$G$2:$G$301,MATCH($B119,Modelos!$C$2:$C$301,0))&amp;"","")</f>
        <v/>
      </c>
      <c r="L119" s="7" t="str">
        <f>IFERROR(INDEX(Diccionarios!$G$2:$G$201,MATCH($C119,Diccionarios!$H$2:$H$201,0))&amp;"","")</f>
        <v/>
      </c>
      <c r="M119" s="7" t="str">
        <f>IF(D119="","",D119&amp;"")</f>
        <v/>
      </c>
      <c r="N119" s="8" t="str">
        <f>IF($B119="","",IFERROR(INDEX(Modelos!$H$2:$H$301,MATCH($B119,Modelos!$C$2:$C$301,0)),""))</f>
        <v/>
      </c>
      <c r="O119" s="8" t="str">
        <f>IF($B119="","",IFERROR(INDEX(Modelos!$I$2:$I$301,MATCH($B119,Modelos!$C$2:$C$301,0)),""))</f>
        <v/>
      </c>
      <c r="P119" s="8" t="str">
        <f>IF($B119="","",IFERROR(INDEX(Modelos!$J$2:$J$301,MATCH($B119,Modelos!$C$2:$C$301,0)),""))</f>
        <v/>
      </c>
      <c r="Q119" s="7" t="str">
        <f>IFERROR(INDEX(Diccionarios!$B$2:$B$201,MATCH($A119,Diccionarios!$D$2:$D$201,0))&amp;"","")</f>
        <v/>
      </c>
      <c r="R119" s="7" t="str">
        <f>IFERROR(INDEX(Diccionarios!$C$2:$C$201,MATCH($A119,Diccionarios!$D$2:$D$201,0))&amp;"","")</f>
        <v/>
      </c>
      <c r="S119" s="7" t="str">
        <f>IFERROR(INDEX(Modelos!$K$2:$K$301,MATCH($B119,Modelos!$C$2:$C$301,0))&amp;"","")</f>
        <v/>
      </c>
      <c r="T119" s="7" t="str">
        <f>IFERROR(INDEX(Modelos!$L$2:$L$301,MATCH($B119,Modelos!$C$2:$C$301,0))&amp;"","")</f>
        <v/>
      </c>
    </row>
    <row r="120" spans="1:20" x14ac:dyDescent="0.25">
      <c r="A120" s="5"/>
      <c r="B120" s="5"/>
      <c r="C120" s="5"/>
      <c r="D120" s="6"/>
      <c r="E120" s="5"/>
      <c r="F120" s="7" t="str">
        <f>IF(AND(A120&lt;&gt;"",B120&lt;&gt;"",C120&lt;&gt;"",D120&lt;&gt;""),LEFT(A120,2)&amp;LEFT(B120,4)&amp;LEFT(C120,2)&amp;SUBSTITUTE(UPPER(D120),"Ú","U"),"")</f>
        <v/>
      </c>
      <c r="G120" s="7" t="str">
        <f>IFERROR(INDEX(Modelos!$B$2:$B$301,MATCH($B120,Modelos!$C$2:$C$301,0))&amp;"","")</f>
        <v/>
      </c>
      <c r="H120" s="7" t="str">
        <f>IFERROR(INDEX(Modelos!$D$2:$D$301,MATCH($B120,Modelos!$C$2:$C$301,0))&amp;"","")</f>
        <v/>
      </c>
      <c r="I120" s="7" t="str">
        <f>IFERROR(INDEX(Modelos!$E$2:$E$301,MATCH($B120,Modelos!$C$2:$C$301,0))&amp;"","")</f>
        <v/>
      </c>
      <c r="J120" s="7" t="str">
        <f>IFERROR(INDEX(Modelos!$F$2:$F$301,MATCH($B120,Modelos!$C$2:$C$301,0))&amp;"","")</f>
        <v/>
      </c>
      <c r="K120" s="7" t="str">
        <f>IFERROR(INDEX(Modelos!$G$2:$G$301,MATCH($B120,Modelos!$C$2:$C$301,0))&amp;"","")</f>
        <v/>
      </c>
      <c r="L120" s="7" t="str">
        <f>IFERROR(INDEX(Diccionarios!$G$2:$G$201,MATCH($C120,Diccionarios!$H$2:$H$201,0))&amp;"","")</f>
        <v/>
      </c>
      <c r="M120" s="7" t="str">
        <f>IF(D120="","",D120&amp;"")</f>
        <v/>
      </c>
      <c r="N120" s="8" t="str">
        <f>IF($B120="","",IFERROR(INDEX(Modelos!$H$2:$H$301,MATCH($B120,Modelos!$C$2:$C$301,0)),""))</f>
        <v/>
      </c>
      <c r="O120" s="8" t="str">
        <f>IF($B120="","",IFERROR(INDEX(Modelos!$I$2:$I$301,MATCH($B120,Modelos!$C$2:$C$301,0)),""))</f>
        <v/>
      </c>
      <c r="P120" s="8" t="str">
        <f>IF($B120="","",IFERROR(INDEX(Modelos!$J$2:$J$301,MATCH($B120,Modelos!$C$2:$C$301,0)),""))</f>
        <v/>
      </c>
      <c r="Q120" s="7" t="str">
        <f>IFERROR(INDEX(Diccionarios!$B$2:$B$201,MATCH($A120,Diccionarios!$D$2:$D$201,0))&amp;"","")</f>
        <v/>
      </c>
      <c r="R120" s="7" t="str">
        <f>IFERROR(INDEX(Diccionarios!$C$2:$C$201,MATCH($A120,Diccionarios!$D$2:$D$201,0))&amp;"","")</f>
        <v/>
      </c>
      <c r="S120" s="7" t="str">
        <f>IFERROR(INDEX(Modelos!$K$2:$K$301,MATCH($B120,Modelos!$C$2:$C$301,0))&amp;"","")</f>
        <v/>
      </c>
      <c r="T120" s="7" t="str">
        <f>IFERROR(INDEX(Modelos!$L$2:$L$301,MATCH($B120,Modelos!$C$2:$C$301,0))&amp;"","")</f>
        <v/>
      </c>
    </row>
    <row r="121" spans="1:20" x14ac:dyDescent="0.25">
      <c r="A121" s="5"/>
      <c r="B121" s="5"/>
      <c r="C121" s="5"/>
      <c r="D121" s="6"/>
      <c r="E121" s="5"/>
      <c r="F121" s="7" t="str">
        <f>IF(AND(A121&lt;&gt;"",B121&lt;&gt;"",C121&lt;&gt;"",D121&lt;&gt;""),LEFT(A121,2)&amp;LEFT(B121,4)&amp;LEFT(C121,2)&amp;SUBSTITUTE(UPPER(D121),"Ú","U"),"")</f>
        <v/>
      </c>
      <c r="G121" s="7" t="str">
        <f>IFERROR(INDEX(Modelos!$B$2:$B$301,MATCH($B121,Modelos!$C$2:$C$301,0))&amp;"","")</f>
        <v/>
      </c>
      <c r="H121" s="7" t="str">
        <f>IFERROR(INDEX(Modelos!$D$2:$D$301,MATCH($B121,Modelos!$C$2:$C$301,0))&amp;"","")</f>
        <v/>
      </c>
      <c r="I121" s="7" t="str">
        <f>IFERROR(INDEX(Modelos!$E$2:$E$301,MATCH($B121,Modelos!$C$2:$C$301,0))&amp;"","")</f>
        <v/>
      </c>
      <c r="J121" s="7" t="str">
        <f>IFERROR(INDEX(Modelos!$F$2:$F$301,MATCH($B121,Modelos!$C$2:$C$301,0))&amp;"","")</f>
        <v/>
      </c>
      <c r="K121" s="7" t="str">
        <f>IFERROR(INDEX(Modelos!$G$2:$G$301,MATCH($B121,Modelos!$C$2:$C$301,0))&amp;"","")</f>
        <v/>
      </c>
      <c r="L121" s="7" t="str">
        <f>IFERROR(INDEX(Diccionarios!$G$2:$G$201,MATCH($C121,Diccionarios!$H$2:$H$201,0))&amp;"","")</f>
        <v/>
      </c>
      <c r="M121" s="7" t="str">
        <f>IF(D121="","",D121&amp;"")</f>
        <v/>
      </c>
      <c r="N121" s="8" t="str">
        <f>IF($B121="","",IFERROR(INDEX(Modelos!$H$2:$H$301,MATCH($B121,Modelos!$C$2:$C$301,0)),""))</f>
        <v/>
      </c>
      <c r="O121" s="8" t="str">
        <f>IF($B121="","",IFERROR(INDEX(Modelos!$I$2:$I$301,MATCH($B121,Modelos!$C$2:$C$301,0)),""))</f>
        <v/>
      </c>
      <c r="P121" s="8" t="str">
        <f>IF($B121="","",IFERROR(INDEX(Modelos!$J$2:$J$301,MATCH($B121,Modelos!$C$2:$C$301,0)),""))</f>
        <v/>
      </c>
      <c r="Q121" s="7" t="str">
        <f>IFERROR(INDEX(Diccionarios!$B$2:$B$201,MATCH($A121,Diccionarios!$D$2:$D$201,0))&amp;"","")</f>
        <v/>
      </c>
      <c r="R121" s="7" t="str">
        <f>IFERROR(INDEX(Diccionarios!$C$2:$C$201,MATCH($A121,Diccionarios!$D$2:$D$201,0))&amp;"","")</f>
        <v/>
      </c>
      <c r="S121" s="7" t="str">
        <f>IFERROR(INDEX(Modelos!$K$2:$K$301,MATCH($B121,Modelos!$C$2:$C$301,0))&amp;"","")</f>
        <v/>
      </c>
      <c r="T121" s="7" t="str">
        <f>IFERROR(INDEX(Modelos!$L$2:$L$301,MATCH($B121,Modelos!$C$2:$C$301,0))&amp;"","")</f>
        <v/>
      </c>
    </row>
    <row r="122" spans="1:20" x14ac:dyDescent="0.25">
      <c r="A122" s="5"/>
      <c r="B122" s="5"/>
      <c r="C122" s="5"/>
      <c r="D122" s="6"/>
      <c r="E122" s="5"/>
      <c r="F122" s="7" t="str">
        <f>IF(AND(A122&lt;&gt;"",B122&lt;&gt;"",C122&lt;&gt;"",D122&lt;&gt;""),LEFT(A122,2)&amp;LEFT(B122,4)&amp;LEFT(C122,2)&amp;SUBSTITUTE(UPPER(D122),"Ú","U"),"")</f>
        <v/>
      </c>
      <c r="G122" s="7" t="str">
        <f>IFERROR(INDEX(Modelos!$B$2:$B$301,MATCH($B122,Modelos!$C$2:$C$301,0))&amp;"","")</f>
        <v/>
      </c>
      <c r="H122" s="7" t="str">
        <f>IFERROR(INDEX(Modelos!$D$2:$D$301,MATCH($B122,Modelos!$C$2:$C$301,0))&amp;"","")</f>
        <v/>
      </c>
      <c r="I122" s="7" t="str">
        <f>IFERROR(INDEX(Modelos!$E$2:$E$301,MATCH($B122,Modelos!$C$2:$C$301,0))&amp;"","")</f>
        <v/>
      </c>
      <c r="J122" s="7" t="str">
        <f>IFERROR(INDEX(Modelos!$F$2:$F$301,MATCH($B122,Modelos!$C$2:$C$301,0))&amp;"","")</f>
        <v/>
      </c>
      <c r="K122" s="7" t="str">
        <f>IFERROR(INDEX(Modelos!$G$2:$G$301,MATCH($B122,Modelos!$C$2:$C$301,0))&amp;"","")</f>
        <v/>
      </c>
      <c r="L122" s="7" t="str">
        <f>IFERROR(INDEX(Diccionarios!$G$2:$G$201,MATCH($C122,Diccionarios!$H$2:$H$201,0))&amp;"","")</f>
        <v/>
      </c>
      <c r="M122" s="7" t="str">
        <f>IF(D122="","",D122&amp;"")</f>
        <v/>
      </c>
      <c r="N122" s="8" t="str">
        <f>IF($B122="","",IFERROR(INDEX(Modelos!$H$2:$H$301,MATCH($B122,Modelos!$C$2:$C$301,0)),""))</f>
        <v/>
      </c>
      <c r="O122" s="8" t="str">
        <f>IF($B122="","",IFERROR(INDEX(Modelos!$I$2:$I$301,MATCH($B122,Modelos!$C$2:$C$301,0)),""))</f>
        <v/>
      </c>
      <c r="P122" s="8" t="str">
        <f>IF($B122="","",IFERROR(INDEX(Modelos!$J$2:$J$301,MATCH($B122,Modelos!$C$2:$C$301,0)),""))</f>
        <v/>
      </c>
      <c r="Q122" s="7" t="str">
        <f>IFERROR(INDEX(Diccionarios!$B$2:$B$201,MATCH($A122,Diccionarios!$D$2:$D$201,0))&amp;"","")</f>
        <v/>
      </c>
      <c r="R122" s="7" t="str">
        <f>IFERROR(INDEX(Diccionarios!$C$2:$C$201,MATCH($A122,Diccionarios!$D$2:$D$201,0))&amp;"","")</f>
        <v/>
      </c>
      <c r="S122" s="7" t="str">
        <f>IFERROR(INDEX(Modelos!$K$2:$K$301,MATCH($B122,Modelos!$C$2:$C$301,0))&amp;"","")</f>
        <v/>
      </c>
      <c r="T122" s="7" t="str">
        <f>IFERROR(INDEX(Modelos!$L$2:$L$301,MATCH($B122,Modelos!$C$2:$C$301,0))&amp;"","")</f>
        <v/>
      </c>
    </row>
    <row r="123" spans="1:20" x14ac:dyDescent="0.25">
      <c r="A123" s="5"/>
      <c r="B123" s="5"/>
      <c r="C123" s="5"/>
      <c r="D123" s="6"/>
      <c r="E123" s="5"/>
      <c r="F123" s="7" t="str">
        <f>IF(AND(A123&lt;&gt;"",B123&lt;&gt;"",C123&lt;&gt;"",D123&lt;&gt;""),LEFT(A123,2)&amp;LEFT(B123,4)&amp;LEFT(C123,2)&amp;SUBSTITUTE(UPPER(D123),"Ú","U"),"")</f>
        <v/>
      </c>
      <c r="G123" s="7" t="str">
        <f>IFERROR(INDEX(Modelos!$B$2:$B$301,MATCH($B123,Modelos!$C$2:$C$301,0))&amp;"","")</f>
        <v/>
      </c>
      <c r="H123" s="7" t="str">
        <f>IFERROR(INDEX(Modelos!$D$2:$D$301,MATCH($B123,Modelos!$C$2:$C$301,0))&amp;"","")</f>
        <v/>
      </c>
      <c r="I123" s="7" t="str">
        <f>IFERROR(INDEX(Modelos!$E$2:$E$301,MATCH($B123,Modelos!$C$2:$C$301,0))&amp;"","")</f>
        <v/>
      </c>
      <c r="J123" s="7" t="str">
        <f>IFERROR(INDEX(Modelos!$F$2:$F$301,MATCH($B123,Modelos!$C$2:$C$301,0))&amp;"","")</f>
        <v/>
      </c>
      <c r="K123" s="7" t="str">
        <f>IFERROR(INDEX(Modelos!$G$2:$G$301,MATCH($B123,Modelos!$C$2:$C$301,0))&amp;"","")</f>
        <v/>
      </c>
      <c r="L123" s="7" t="str">
        <f>IFERROR(INDEX(Diccionarios!$G$2:$G$201,MATCH($C123,Diccionarios!$H$2:$H$201,0))&amp;"","")</f>
        <v/>
      </c>
      <c r="M123" s="7" t="str">
        <f>IF(D123="","",D123&amp;"")</f>
        <v/>
      </c>
      <c r="N123" s="8" t="str">
        <f>IF($B123="","",IFERROR(INDEX(Modelos!$H$2:$H$301,MATCH($B123,Modelos!$C$2:$C$301,0)),""))</f>
        <v/>
      </c>
      <c r="O123" s="8" t="str">
        <f>IF($B123="","",IFERROR(INDEX(Modelos!$I$2:$I$301,MATCH($B123,Modelos!$C$2:$C$301,0)),""))</f>
        <v/>
      </c>
      <c r="P123" s="8" t="str">
        <f>IF($B123="","",IFERROR(INDEX(Modelos!$J$2:$J$301,MATCH($B123,Modelos!$C$2:$C$301,0)),""))</f>
        <v/>
      </c>
      <c r="Q123" s="7" t="str">
        <f>IFERROR(INDEX(Diccionarios!$B$2:$B$201,MATCH($A123,Diccionarios!$D$2:$D$201,0))&amp;"","")</f>
        <v/>
      </c>
      <c r="R123" s="7" t="str">
        <f>IFERROR(INDEX(Diccionarios!$C$2:$C$201,MATCH($A123,Diccionarios!$D$2:$D$201,0))&amp;"","")</f>
        <v/>
      </c>
      <c r="S123" s="7" t="str">
        <f>IFERROR(INDEX(Modelos!$K$2:$K$301,MATCH($B123,Modelos!$C$2:$C$301,0))&amp;"","")</f>
        <v/>
      </c>
      <c r="T123" s="7" t="str">
        <f>IFERROR(INDEX(Modelos!$L$2:$L$301,MATCH($B123,Modelos!$C$2:$C$301,0))&amp;"","")</f>
        <v/>
      </c>
    </row>
    <row r="124" spans="1:20" x14ac:dyDescent="0.25">
      <c r="A124" s="5"/>
      <c r="B124" s="5"/>
      <c r="C124" s="5"/>
      <c r="D124" s="6"/>
      <c r="E124" s="5"/>
      <c r="F124" s="7" t="str">
        <f>IF(AND(A124&lt;&gt;"",B124&lt;&gt;"",C124&lt;&gt;"",D124&lt;&gt;""),LEFT(A124,2)&amp;LEFT(B124,4)&amp;LEFT(C124,2)&amp;SUBSTITUTE(UPPER(D124),"Ú","U"),"")</f>
        <v/>
      </c>
      <c r="G124" s="7" t="str">
        <f>IFERROR(INDEX(Modelos!$B$2:$B$301,MATCH($B124,Modelos!$C$2:$C$301,0))&amp;"","")</f>
        <v/>
      </c>
      <c r="H124" s="7" t="str">
        <f>IFERROR(INDEX(Modelos!$D$2:$D$301,MATCH($B124,Modelos!$C$2:$C$301,0))&amp;"","")</f>
        <v/>
      </c>
      <c r="I124" s="7" t="str">
        <f>IFERROR(INDEX(Modelos!$E$2:$E$301,MATCH($B124,Modelos!$C$2:$C$301,0))&amp;"","")</f>
        <v/>
      </c>
      <c r="J124" s="7" t="str">
        <f>IFERROR(INDEX(Modelos!$F$2:$F$301,MATCH($B124,Modelos!$C$2:$C$301,0))&amp;"","")</f>
        <v/>
      </c>
      <c r="K124" s="7" t="str">
        <f>IFERROR(INDEX(Modelos!$G$2:$G$301,MATCH($B124,Modelos!$C$2:$C$301,0))&amp;"","")</f>
        <v/>
      </c>
      <c r="L124" s="7" t="str">
        <f>IFERROR(INDEX(Diccionarios!$G$2:$G$201,MATCH($C124,Diccionarios!$H$2:$H$201,0))&amp;"","")</f>
        <v/>
      </c>
      <c r="M124" s="7" t="str">
        <f>IF(D124="","",D124&amp;"")</f>
        <v/>
      </c>
      <c r="N124" s="8" t="str">
        <f>IF($B124="","",IFERROR(INDEX(Modelos!$H$2:$H$301,MATCH($B124,Modelos!$C$2:$C$301,0)),""))</f>
        <v/>
      </c>
      <c r="O124" s="8" t="str">
        <f>IF($B124="","",IFERROR(INDEX(Modelos!$I$2:$I$301,MATCH($B124,Modelos!$C$2:$C$301,0)),""))</f>
        <v/>
      </c>
      <c r="P124" s="8" t="str">
        <f>IF($B124="","",IFERROR(INDEX(Modelos!$J$2:$J$301,MATCH($B124,Modelos!$C$2:$C$301,0)),""))</f>
        <v/>
      </c>
      <c r="Q124" s="7" t="str">
        <f>IFERROR(INDEX(Diccionarios!$B$2:$B$201,MATCH($A124,Diccionarios!$D$2:$D$201,0))&amp;"","")</f>
        <v/>
      </c>
      <c r="R124" s="7" t="str">
        <f>IFERROR(INDEX(Diccionarios!$C$2:$C$201,MATCH($A124,Diccionarios!$D$2:$D$201,0))&amp;"","")</f>
        <v/>
      </c>
      <c r="S124" s="7" t="str">
        <f>IFERROR(INDEX(Modelos!$K$2:$K$301,MATCH($B124,Modelos!$C$2:$C$301,0))&amp;"","")</f>
        <v/>
      </c>
      <c r="T124" s="7" t="str">
        <f>IFERROR(INDEX(Modelos!$L$2:$L$301,MATCH($B124,Modelos!$C$2:$C$301,0))&amp;"","")</f>
        <v/>
      </c>
    </row>
    <row r="125" spans="1:20" x14ac:dyDescent="0.25">
      <c r="A125" s="5"/>
      <c r="B125" s="5"/>
      <c r="C125" s="5"/>
      <c r="D125" s="6"/>
      <c r="E125" s="5"/>
      <c r="F125" s="7" t="str">
        <f>IF(AND(A125&lt;&gt;"",B125&lt;&gt;"",C125&lt;&gt;"",D125&lt;&gt;""),LEFT(A125,2)&amp;LEFT(B125,4)&amp;LEFT(C125,2)&amp;SUBSTITUTE(UPPER(D125),"Ú","U"),"")</f>
        <v/>
      </c>
      <c r="G125" s="7" t="str">
        <f>IFERROR(INDEX(Modelos!$B$2:$B$301,MATCH($B125,Modelos!$C$2:$C$301,0))&amp;"","")</f>
        <v/>
      </c>
      <c r="H125" s="7" t="str">
        <f>IFERROR(INDEX(Modelos!$D$2:$D$301,MATCH($B125,Modelos!$C$2:$C$301,0))&amp;"","")</f>
        <v/>
      </c>
      <c r="I125" s="7" t="str">
        <f>IFERROR(INDEX(Modelos!$E$2:$E$301,MATCH($B125,Modelos!$C$2:$C$301,0))&amp;"","")</f>
        <v/>
      </c>
      <c r="J125" s="7" t="str">
        <f>IFERROR(INDEX(Modelos!$F$2:$F$301,MATCH($B125,Modelos!$C$2:$C$301,0))&amp;"","")</f>
        <v/>
      </c>
      <c r="K125" s="7" t="str">
        <f>IFERROR(INDEX(Modelos!$G$2:$G$301,MATCH($B125,Modelos!$C$2:$C$301,0))&amp;"","")</f>
        <v/>
      </c>
      <c r="L125" s="7" t="str">
        <f>IFERROR(INDEX(Diccionarios!$G$2:$G$201,MATCH($C125,Diccionarios!$H$2:$H$201,0))&amp;"","")</f>
        <v/>
      </c>
      <c r="M125" s="7" t="str">
        <f>IF(D125="","",D125&amp;"")</f>
        <v/>
      </c>
      <c r="N125" s="8" t="str">
        <f>IF($B125="","",IFERROR(INDEX(Modelos!$H$2:$H$301,MATCH($B125,Modelos!$C$2:$C$301,0)),""))</f>
        <v/>
      </c>
      <c r="O125" s="8" t="str">
        <f>IF($B125="","",IFERROR(INDEX(Modelos!$I$2:$I$301,MATCH($B125,Modelos!$C$2:$C$301,0)),""))</f>
        <v/>
      </c>
      <c r="P125" s="8" t="str">
        <f>IF($B125="","",IFERROR(INDEX(Modelos!$J$2:$J$301,MATCH($B125,Modelos!$C$2:$C$301,0)),""))</f>
        <v/>
      </c>
      <c r="Q125" s="7" t="str">
        <f>IFERROR(INDEX(Diccionarios!$B$2:$B$201,MATCH($A125,Diccionarios!$D$2:$D$201,0))&amp;"","")</f>
        <v/>
      </c>
      <c r="R125" s="7" t="str">
        <f>IFERROR(INDEX(Diccionarios!$C$2:$C$201,MATCH($A125,Diccionarios!$D$2:$D$201,0))&amp;"","")</f>
        <v/>
      </c>
      <c r="S125" s="7" t="str">
        <f>IFERROR(INDEX(Modelos!$K$2:$K$301,MATCH($B125,Modelos!$C$2:$C$301,0))&amp;"","")</f>
        <v/>
      </c>
      <c r="T125" s="7" t="str">
        <f>IFERROR(INDEX(Modelos!$L$2:$L$301,MATCH($B125,Modelos!$C$2:$C$301,0))&amp;"","")</f>
        <v/>
      </c>
    </row>
    <row r="126" spans="1:20" x14ac:dyDescent="0.25">
      <c r="A126" s="5"/>
      <c r="B126" s="5"/>
      <c r="C126" s="5"/>
      <c r="D126" s="6"/>
      <c r="E126" s="5"/>
      <c r="F126" s="7" t="str">
        <f>IF(AND(A126&lt;&gt;"",B126&lt;&gt;"",C126&lt;&gt;"",D126&lt;&gt;""),LEFT(A126,2)&amp;LEFT(B126,4)&amp;LEFT(C126,2)&amp;SUBSTITUTE(UPPER(D126),"Ú","U"),"")</f>
        <v/>
      </c>
      <c r="G126" s="7" t="str">
        <f>IFERROR(INDEX(Modelos!$B$2:$B$301,MATCH($B126,Modelos!$C$2:$C$301,0))&amp;"","")</f>
        <v/>
      </c>
      <c r="H126" s="7" t="str">
        <f>IFERROR(INDEX(Modelos!$D$2:$D$301,MATCH($B126,Modelos!$C$2:$C$301,0))&amp;"","")</f>
        <v/>
      </c>
      <c r="I126" s="7" t="str">
        <f>IFERROR(INDEX(Modelos!$E$2:$E$301,MATCH($B126,Modelos!$C$2:$C$301,0))&amp;"","")</f>
        <v/>
      </c>
      <c r="J126" s="7" t="str">
        <f>IFERROR(INDEX(Modelos!$F$2:$F$301,MATCH($B126,Modelos!$C$2:$C$301,0))&amp;"","")</f>
        <v/>
      </c>
      <c r="K126" s="7" t="str">
        <f>IFERROR(INDEX(Modelos!$G$2:$G$301,MATCH($B126,Modelos!$C$2:$C$301,0))&amp;"","")</f>
        <v/>
      </c>
      <c r="L126" s="7" t="str">
        <f>IFERROR(INDEX(Diccionarios!$G$2:$G$201,MATCH($C126,Diccionarios!$H$2:$H$201,0))&amp;"","")</f>
        <v/>
      </c>
      <c r="M126" s="7" t="str">
        <f>IF(D126="","",D126&amp;"")</f>
        <v/>
      </c>
      <c r="N126" s="8" t="str">
        <f>IF($B126="","",IFERROR(INDEX(Modelos!$H$2:$H$301,MATCH($B126,Modelos!$C$2:$C$301,0)),""))</f>
        <v/>
      </c>
      <c r="O126" s="8" t="str">
        <f>IF($B126="","",IFERROR(INDEX(Modelos!$I$2:$I$301,MATCH($B126,Modelos!$C$2:$C$301,0)),""))</f>
        <v/>
      </c>
      <c r="P126" s="8" t="str">
        <f>IF($B126="","",IFERROR(INDEX(Modelos!$J$2:$J$301,MATCH($B126,Modelos!$C$2:$C$301,0)),""))</f>
        <v/>
      </c>
      <c r="Q126" s="7" t="str">
        <f>IFERROR(INDEX(Diccionarios!$B$2:$B$201,MATCH($A126,Diccionarios!$D$2:$D$201,0))&amp;"","")</f>
        <v/>
      </c>
      <c r="R126" s="7" t="str">
        <f>IFERROR(INDEX(Diccionarios!$C$2:$C$201,MATCH($A126,Diccionarios!$D$2:$D$201,0))&amp;"","")</f>
        <v/>
      </c>
      <c r="S126" s="7" t="str">
        <f>IFERROR(INDEX(Modelos!$K$2:$K$301,MATCH($B126,Modelos!$C$2:$C$301,0))&amp;"","")</f>
        <v/>
      </c>
      <c r="T126" s="7" t="str">
        <f>IFERROR(INDEX(Modelos!$L$2:$L$301,MATCH($B126,Modelos!$C$2:$C$301,0))&amp;"","")</f>
        <v/>
      </c>
    </row>
    <row r="127" spans="1:20" x14ac:dyDescent="0.25">
      <c r="A127" s="5"/>
      <c r="B127" s="5"/>
      <c r="C127" s="5"/>
      <c r="D127" s="6"/>
      <c r="E127" s="5"/>
      <c r="F127" s="7" t="str">
        <f>IF(AND(A127&lt;&gt;"",B127&lt;&gt;"",C127&lt;&gt;"",D127&lt;&gt;""),LEFT(A127,2)&amp;LEFT(B127,4)&amp;LEFT(C127,2)&amp;SUBSTITUTE(UPPER(D127),"Ú","U"),"")</f>
        <v/>
      </c>
      <c r="G127" s="7" t="str">
        <f>IFERROR(INDEX(Modelos!$B$2:$B$301,MATCH($B127,Modelos!$C$2:$C$301,0))&amp;"","")</f>
        <v/>
      </c>
      <c r="H127" s="7" t="str">
        <f>IFERROR(INDEX(Modelos!$D$2:$D$301,MATCH($B127,Modelos!$C$2:$C$301,0))&amp;"","")</f>
        <v/>
      </c>
      <c r="I127" s="7" t="str">
        <f>IFERROR(INDEX(Modelos!$E$2:$E$301,MATCH($B127,Modelos!$C$2:$C$301,0))&amp;"","")</f>
        <v/>
      </c>
      <c r="J127" s="7" t="str">
        <f>IFERROR(INDEX(Modelos!$F$2:$F$301,MATCH($B127,Modelos!$C$2:$C$301,0))&amp;"","")</f>
        <v/>
      </c>
      <c r="K127" s="7" t="str">
        <f>IFERROR(INDEX(Modelos!$G$2:$G$301,MATCH($B127,Modelos!$C$2:$C$301,0))&amp;"","")</f>
        <v/>
      </c>
      <c r="L127" s="7" t="str">
        <f>IFERROR(INDEX(Diccionarios!$G$2:$G$201,MATCH($C127,Diccionarios!$H$2:$H$201,0))&amp;"","")</f>
        <v/>
      </c>
      <c r="M127" s="7" t="str">
        <f>IF(D127="","",D127&amp;"")</f>
        <v/>
      </c>
      <c r="N127" s="8" t="str">
        <f>IF($B127="","",IFERROR(INDEX(Modelos!$H$2:$H$301,MATCH($B127,Modelos!$C$2:$C$301,0)),""))</f>
        <v/>
      </c>
      <c r="O127" s="8" t="str">
        <f>IF($B127="","",IFERROR(INDEX(Modelos!$I$2:$I$301,MATCH($B127,Modelos!$C$2:$C$301,0)),""))</f>
        <v/>
      </c>
      <c r="P127" s="8" t="str">
        <f>IF($B127="","",IFERROR(INDEX(Modelos!$J$2:$J$301,MATCH($B127,Modelos!$C$2:$C$301,0)),""))</f>
        <v/>
      </c>
      <c r="Q127" s="7" t="str">
        <f>IFERROR(INDEX(Diccionarios!$B$2:$B$201,MATCH($A127,Diccionarios!$D$2:$D$201,0))&amp;"","")</f>
        <v/>
      </c>
      <c r="R127" s="7" t="str">
        <f>IFERROR(INDEX(Diccionarios!$C$2:$C$201,MATCH($A127,Diccionarios!$D$2:$D$201,0))&amp;"","")</f>
        <v/>
      </c>
      <c r="S127" s="7" t="str">
        <f>IFERROR(INDEX(Modelos!$K$2:$K$301,MATCH($B127,Modelos!$C$2:$C$301,0))&amp;"","")</f>
        <v/>
      </c>
      <c r="T127" s="7" t="str">
        <f>IFERROR(INDEX(Modelos!$L$2:$L$301,MATCH($B127,Modelos!$C$2:$C$301,0))&amp;"","")</f>
        <v/>
      </c>
    </row>
    <row r="128" spans="1:20" x14ac:dyDescent="0.25">
      <c r="A128" s="5"/>
      <c r="B128" s="5"/>
      <c r="C128" s="5"/>
      <c r="D128" s="6"/>
      <c r="E128" s="5"/>
      <c r="F128" s="7" t="str">
        <f>IF(AND(A128&lt;&gt;"",B128&lt;&gt;"",C128&lt;&gt;"",D128&lt;&gt;""),LEFT(A128,2)&amp;LEFT(B128,4)&amp;LEFT(C128,2)&amp;SUBSTITUTE(UPPER(D128),"Ú","U"),"")</f>
        <v/>
      </c>
      <c r="G128" s="7" t="str">
        <f>IFERROR(INDEX(Modelos!$B$2:$B$301,MATCH($B128,Modelos!$C$2:$C$301,0))&amp;"","")</f>
        <v/>
      </c>
      <c r="H128" s="7" t="str">
        <f>IFERROR(INDEX(Modelos!$D$2:$D$301,MATCH($B128,Modelos!$C$2:$C$301,0))&amp;"","")</f>
        <v/>
      </c>
      <c r="I128" s="7" t="str">
        <f>IFERROR(INDEX(Modelos!$E$2:$E$301,MATCH($B128,Modelos!$C$2:$C$301,0))&amp;"","")</f>
        <v/>
      </c>
      <c r="J128" s="7" t="str">
        <f>IFERROR(INDEX(Modelos!$F$2:$F$301,MATCH($B128,Modelos!$C$2:$C$301,0))&amp;"","")</f>
        <v/>
      </c>
      <c r="K128" s="7" t="str">
        <f>IFERROR(INDEX(Modelos!$G$2:$G$301,MATCH($B128,Modelos!$C$2:$C$301,0))&amp;"","")</f>
        <v/>
      </c>
      <c r="L128" s="7" t="str">
        <f>IFERROR(INDEX(Diccionarios!$G$2:$G$201,MATCH($C128,Diccionarios!$H$2:$H$201,0))&amp;"","")</f>
        <v/>
      </c>
      <c r="M128" s="7" t="str">
        <f>IF(D128="","",D128&amp;"")</f>
        <v/>
      </c>
      <c r="N128" s="8" t="str">
        <f>IF($B128="","",IFERROR(INDEX(Modelos!$H$2:$H$301,MATCH($B128,Modelos!$C$2:$C$301,0)),""))</f>
        <v/>
      </c>
      <c r="O128" s="8" t="str">
        <f>IF($B128="","",IFERROR(INDEX(Modelos!$I$2:$I$301,MATCH($B128,Modelos!$C$2:$C$301,0)),""))</f>
        <v/>
      </c>
      <c r="P128" s="8" t="str">
        <f>IF($B128="","",IFERROR(INDEX(Modelos!$J$2:$J$301,MATCH($B128,Modelos!$C$2:$C$301,0)),""))</f>
        <v/>
      </c>
      <c r="Q128" s="7" t="str">
        <f>IFERROR(INDEX(Diccionarios!$B$2:$B$201,MATCH($A128,Diccionarios!$D$2:$D$201,0))&amp;"","")</f>
        <v/>
      </c>
      <c r="R128" s="7" t="str">
        <f>IFERROR(INDEX(Diccionarios!$C$2:$C$201,MATCH($A128,Diccionarios!$D$2:$D$201,0))&amp;"","")</f>
        <v/>
      </c>
      <c r="S128" s="7" t="str">
        <f>IFERROR(INDEX(Modelos!$K$2:$K$301,MATCH($B128,Modelos!$C$2:$C$301,0))&amp;"","")</f>
        <v/>
      </c>
      <c r="T128" s="7" t="str">
        <f>IFERROR(INDEX(Modelos!$L$2:$L$301,MATCH($B128,Modelos!$C$2:$C$301,0))&amp;"","")</f>
        <v/>
      </c>
    </row>
    <row r="129" spans="1:20" x14ac:dyDescent="0.25">
      <c r="A129" s="5"/>
      <c r="B129" s="5"/>
      <c r="C129" s="5"/>
      <c r="D129" s="6"/>
      <c r="E129" s="5"/>
      <c r="F129" s="7" t="str">
        <f>IF(AND(A129&lt;&gt;"",B129&lt;&gt;"",C129&lt;&gt;"",D129&lt;&gt;""),LEFT(A129,2)&amp;LEFT(B129,4)&amp;LEFT(C129,2)&amp;SUBSTITUTE(UPPER(D129),"Ú","U"),"")</f>
        <v/>
      </c>
      <c r="G129" s="7" t="str">
        <f>IFERROR(INDEX(Modelos!$B$2:$B$301,MATCH($B129,Modelos!$C$2:$C$301,0))&amp;"","")</f>
        <v/>
      </c>
      <c r="H129" s="7" t="str">
        <f>IFERROR(INDEX(Modelos!$D$2:$D$301,MATCH($B129,Modelos!$C$2:$C$301,0))&amp;"","")</f>
        <v/>
      </c>
      <c r="I129" s="7" t="str">
        <f>IFERROR(INDEX(Modelos!$E$2:$E$301,MATCH($B129,Modelos!$C$2:$C$301,0))&amp;"","")</f>
        <v/>
      </c>
      <c r="J129" s="7" t="str">
        <f>IFERROR(INDEX(Modelos!$F$2:$F$301,MATCH($B129,Modelos!$C$2:$C$301,0))&amp;"","")</f>
        <v/>
      </c>
      <c r="K129" s="7" t="str">
        <f>IFERROR(INDEX(Modelos!$G$2:$G$301,MATCH($B129,Modelos!$C$2:$C$301,0))&amp;"","")</f>
        <v/>
      </c>
      <c r="L129" s="7" t="str">
        <f>IFERROR(INDEX(Diccionarios!$G$2:$G$201,MATCH($C129,Diccionarios!$H$2:$H$201,0))&amp;"","")</f>
        <v/>
      </c>
      <c r="M129" s="7" t="str">
        <f>IF(D129="","",D129&amp;"")</f>
        <v/>
      </c>
      <c r="N129" s="8" t="str">
        <f>IF($B129="","",IFERROR(INDEX(Modelos!$H$2:$H$301,MATCH($B129,Modelos!$C$2:$C$301,0)),""))</f>
        <v/>
      </c>
      <c r="O129" s="8" t="str">
        <f>IF($B129="","",IFERROR(INDEX(Modelos!$I$2:$I$301,MATCH($B129,Modelos!$C$2:$C$301,0)),""))</f>
        <v/>
      </c>
      <c r="P129" s="8" t="str">
        <f>IF($B129="","",IFERROR(INDEX(Modelos!$J$2:$J$301,MATCH($B129,Modelos!$C$2:$C$301,0)),""))</f>
        <v/>
      </c>
      <c r="Q129" s="7" t="str">
        <f>IFERROR(INDEX(Diccionarios!$B$2:$B$201,MATCH($A129,Diccionarios!$D$2:$D$201,0))&amp;"","")</f>
        <v/>
      </c>
      <c r="R129" s="7" t="str">
        <f>IFERROR(INDEX(Diccionarios!$C$2:$C$201,MATCH($A129,Diccionarios!$D$2:$D$201,0))&amp;"","")</f>
        <v/>
      </c>
      <c r="S129" s="7" t="str">
        <f>IFERROR(INDEX(Modelos!$K$2:$K$301,MATCH($B129,Modelos!$C$2:$C$301,0))&amp;"","")</f>
        <v/>
      </c>
      <c r="T129" s="7" t="str">
        <f>IFERROR(INDEX(Modelos!$L$2:$L$301,MATCH($B129,Modelos!$C$2:$C$301,0))&amp;"","")</f>
        <v/>
      </c>
    </row>
    <row r="130" spans="1:20" x14ac:dyDescent="0.25">
      <c r="A130" s="5"/>
      <c r="B130" s="5"/>
      <c r="C130" s="5"/>
      <c r="D130" s="6"/>
      <c r="E130" s="5"/>
      <c r="F130" s="7" t="str">
        <f>IF(AND(A130&lt;&gt;"",B130&lt;&gt;"",C130&lt;&gt;"",D130&lt;&gt;""),LEFT(A130,2)&amp;LEFT(B130,4)&amp;LEFT(C130,2)&amp;SUBSTITUTE(UPPER(D130),"Ú","U"),"")</f>
        <v/>
      </c>
      <c r="G130" s="7" t="str">
        <f>IFERROR(INDEX(Modelos!$B$2:$B$301,MATCH($B130,Modelos!$C$2:$C$301,0))&amp;"","")</f>
        <v/>
      </c>
      <c r="H130" s="7" t="str">
        <f>IFERROR(INDEX(Modelos!$D$2:$D$301,MATCH($B130,Modelos!$C$2:$C$301,0))&amp;"","")</f>
        <v/>
      </c>
      <c r="I130" s="7" t="str">
        <f>IFERROR(INDEX(Modelos!$E$2:$E$301,MATCH($B130,Modelos!$C$2:$C$301,0))&amp;"","")</f>
        <v/>
      </c>
      <c r="J130" s="7" t="str">
        <f>IFERROR(INDEX(Modelos!$F$2:$F$301,MATCH($B130,Modelos!$C$2:$C$301,0))&amp;"","")</f>
        <v/>
      </c>
      <c r="K130" s="7" t="str">
        <f>IFERROR(INDEX(Modelos!$G$2:$G$301,MATCH($B130,Modelos!$C$2:$C$301,0))&amp;"","")</f>
        <v/>
      </c>
      <c r="L130" s="7" t="str">
        <f>IFERROR(INDEX(Diccionarios!$G$2:$G$201,MATCH($C130,Diccionarios!$H$2:$H$201,0))&amp;"","")</f>
        <v/>
      </c>
      <c r="M130" s="7" t="str">
        <f>IF(D130="","",D130&amp;"")</f>
        <v/>
      </c>
      <c r="N130" s="8" t="str">
        <f>IF($B130="","",IFERROR(INDEX(Modelos!$H$2:$H$301,MATCH($B130,Modelos!$C$2:$C$301,0)),""))</f>
        <v/>
      </c>
      <c r="O130" s="8" t="str">
        <f>IF($B130="","",IFERROR(INDEX(Modelos!$I$2:$I$301,MATCH($B130,Modelos!$C$2:$C$301,0)),""))</f>
        <v/>
      </c>
      <c r="P130" s="8" t="str">
        <f>IF($B130="","",IFERROR(INDEX(Modelos!$J$2:$J$301,MATCH($B130,Modelos!$C$2:$C$301,0)),""))</f>
        <v/>
      </c>
      <c r="Q130" s="7" t="str">
        <f>IFERROR(INDEX(Diccionarios!$B$2:$B$201,MATCH($A130,Diccionarios!$D$2:$D$201,0))&amp;"","")</f>
        <v/>
      </c>
      <c r="R130" s="7" t="str">
        <f>IFERROR(INDEX(Diccionarios!$C$2:$C$201,MATCH($A130,Diccionarios!$D$2:$D$201,0))&amp;"","")</f>
        <v/>
      </c>
      <c r="S130" s="7" t="str">
        <f>IFERROR(INDEX(Modelos!$K$2:$K$301,MATCH($B130,Modelos!$C$2:$C$301,0))&amp;"","")</f>
        <v/>
      </c>
      <c r="T130" s="7" t="str">
        <f>IFERROR(INDEX(Modelos!$L$2:$L$301,MATCH($B130,Modelos!$C$2:$C$301,0))&amp;"","")</f>
        <v/>
      </c>
    </row>
    <row r="131" spans="1:20" x14ac:dyDescent="0.25">
      <c r="A131" s="5"/>
      <c r="B131" s="5"/>
      <c r="C131" s="5"/>
      <c r="D131" s="6"/>
      <c r="E131" s="5"/>
      <c r="F131" s="7" t="str">
        <f>IF(AND(A131&lt;&gt;"",B131&lt;&gt;"",C131&lt;&gt;"",D131&lt;&gt;""),LEFT(A131,2)&amp;LEFT(B131,4)&amp;LEFT(C131,2)&amp;SUBSTITUTE(UPPER(D131),"Ú","U"),"")</f>
        <v/>
      </c>
      <c r="G131" s="7" t="str">
        <f>IFERROR(INDEX(Modelos!$B$2:$B$301,MATCH($B131,Modelos!$C$2:$C$301,0))&amp;"","")</f>
        <v/>
      </c>
      <c r="H131" s="7" t="str">
        <f>IFERROR(INDEX(Modelos!$D$2:$D$301,MATCH($B131,Modelos!$C$2:$C$301,0))&amp;"","")</f>
        <v/>
      </c>
      <c r="I131" s="7" t="str">
        <f>IFERROR(INDEX(Modelos!$E$2:$E$301,MATCH($B131,Modelos!$C$2:$C$301,0))&amp;"","")</f>
        <v/>
      </c>
      <c r="J131" s="7" t="str">
        <f>IFERROR(INDEX(Modelos!$F$2:$F$301,MATCH($B131,Modelos!$C$2:$C$301,0))&amp;"","")</f>
        <v/>
      </c>
      <c r="K131" s="7" t="str">
        <f>IFERROR(INDEX(Modelos!$G$2:$G$301,MATCH($B131,Modelos!$C$2:$C$301,0))&amp;"","")</f>
        <v/>
      </c>
      <c r="L131" s="7" t="str">
        <f>IFERROR(INDEX(Diccionarios!$G$2:$G$201,MATCH($C131,Diccionarios!$H$2:$H$201,0))&amp;"","")</f>
        <v/>
      </c>
      <c r="M131" s="7" t="str">
        <f>IF(D131="","",D131&amp;"")</f>
        <v/>
      </c>
      <c r="N131" s="8" t="str">
        <f>IF($B131="","",IFERROR(INDEX(Modelos!$H$2:$H$301,MATCH($B131,Modelos!$C$2:$C$301,0)),""))</f>
        <v/>
      </c>
      <c r="O131" s="8" t="str">
        <f>IF($B131="","",IFERROR(INDEX(Modelos!$I$2:$I$301,MATCH($B131,Modelos!$C$2:$C$301,0)),""))</f>
        <v/>
      </c>
      <c r="P131" s="8" t="str">
        <f>IF($B131="","",IFERROR(INDEX(Modelos!$J$2:$J$301,MATCH($B131,Modelos!$C$2:$C$301,0)),""))</f>
        <v/>
      </c>
      <c r="Q131" s="7" t="str">
        <f>IFERROR(INDEX(Diccionarios!$B$2:$B$201,MATCH($A131,Diccionarios!$D$2:$D$201,0))&amp;"","")</f>
        <v/>
      </c>
      <c r="R131" s="7" t="str">
        <f>IFERROR(INDEX(Diccionarios!$C$2:$C$201,MATCH($A131,Diccionarios!$D$2:$D$201,0))&amp;"","")</f>
        <v/>
      </c>
      <c r="S131" s="7" t="str">
        <f>IFERROR(INDEX(Modelos!$K$2:$K$301,MATCH($B131,Modelos!$C$2:$C$301,0))&amp;"","")</f>
        <v/>
      </c>
      <c r="T131" s="7" t="str">
        <f>IFERROR(INDEX(Modelos!$L$2:$L$301,MATCH($B131,Modelos!$C$2:$C$301,0))&amp;"","")</f>
        <v/>
      </c>
    </row>
    <row r="132" spans="1:20" x14ac:dyDescent="0.25">
      <c r="A132" s="5"/>
      <c r="B132" s="5"/>
      <c r="C132" s="5"/>
      <c r="D132" s="6"/>
      <c r="E132" s="5"/>
      <c r="F132" s="7" t="str">
        <f>IF(AND(A132&lt;&gt;"",B132&lt;&gt;"",C132&lt;&gt;"",D132&lt;&gt;""),LEFT(A132,2)&amp;LEFT(B132,4)&amp;LEFT(C132,2)&amp;SUBSTITUTE(UPPER(D132),"Ú","U"),"")</f>
        <v/>
      </c>
      <c r="G132" s="7" t="str">
        <f>IFERROR(INDEX(Modelos!$B$2:$B$301,MATCH($B132,Modelos!$C$2:$C$301,0))&amp;"","")</f>
        <v/>
      </c>
      <c r="H132" s="7" t="str">
        <f>IFERROR(INDEX(Modelos!$D$2:$D$301,MATCH($B132,Modelos!$C$2:$C$301,0))&amp;"","")</f>
        <v/>
      </c>
      <c r="I132" s="7" t="str">
        <f>IFERROR(INDEX(Modelos!$E$2:$E$301,MATCH($B132,Modelos!$C$2:$C$301,0))&amp;"","")</f>
        <v/>
      </c>
      <c r="J132" s="7" t="str">
        <f>IFERROR(INDEX(Modelos!$F$2:$F$301,MATCH($B132,Modelos!$C$2:$C$301,0))&amp;"","")</f>
        <v/>
      </c>
      <c r="K132" s="7" t="str">
        <f>IFERROR(INDEX(Modelos!$G$2:$G$301,MATCH($B132,Modelos!$C$2:$C$301,0))&amp;"","")</f>
        <v/>
      </c>
      <c r="L132" s="7" t="str">
        <f>IFERROR(INDEX(Diccionarios!$G$2:$G$201,MATCH($C132,Diccionarios!$H$2:$H$201,0))&amp;"","")</f>
        <v/>
      </c>
      <c r="M132" s="7" t="str">
        <f>IF(D132="","",D132&amp;"")</f>
        <v/>
      </c>
      <c r="N132" s="8" t="str">
        <f>IF($B132="","",IFERROR(INDEX(Modelos!$H$2:$H$301,MATCH($B132,Modelos!$C$2:$C$301,0)),""))</f>
        <v/>
      </c>
      <c r="O132" s="8" t="str">
        <f>IF($B132="","",IFERROR(INDEX(Modelos!$I$2:$I$301,MATCH($B132,Modelos!$C$2:$C$301,0)),""))</f>
        <v/>
      </c>
      <c r="P132" s="8" t="str">
        <f>IF($B132="","",IFERROR(INDEX(Modelos!$J$2:$J$301,MATCH($B132,Modelos!$C$2:$C$301,0)),""))</f>
        <v/>
      </c>
      <c r="Q132" s="7" t="str">
        <f>IFERROR(INDEX(Diccionarios!$B$2:$B$201,MATCH($A132,Diccionarios!$D$2:$D$201,0))&amp;"","")</f>
        <v/>
      </c>
      <c r="R132" s="7" t="str">
        <f>IFERROR(INDEX(Diccionarios!$C$2:$C$201,MATCH($A132,Diccionarios!$D$2:$D$201,0))&amp;"","")</f>
        <v/>
      </c>
      <c r="S132" s="7" t="str">
        <f>IFERROR(INDEX(Modelos!$K$2:$K$301,MATCH($B132,Modelos!$C$2:$C$301,0))&amp;"","")</f>
        <v/>
      </c>
      <c r="T132" s="7" t="str">
        <f>IFERROR(INDEX(Modelos!$L$2:$L$301,MATCH($B132,Modelos!$C$2:$C$301,0))&amp;"","")</f>
        <v/>
      </c>
    </row>
    <row r="133" spans="1:20" x14ac:dyDescent="0.25">
      <c r="A133" s="5"/>
      <c r="B133" s="5"/>
      <c r="C133" s="5"/>
      <c r="D133" s="6"/>
      <c r="E133" s="5"/>
      <c r="F133" s="7" t="str">
        <f>IF(AND(A133&lt;&gt;"",B133&lt;&gt;"",C133&lt;&gt;"",D133&lt;&gt;""),LEFT(A133,2)&amp;LEFT(B133,4)&amp;LEFT(C133,2)&amp;SUBSTITUTE(UPPER(D133),"Ú","U"),"")</f>
        <v/>
      </c>
      <c r="G133" s="7" t="str">
        <f>IFERROR(INDEX(Modelos!$B$2:$B$301,MATCH($B133,Modelos!$C$2:$C$301,0))&amp;"","")</f>
        <v/>
      </c>
      <c r="H133" s="7" t="str">
        <f>IFERROR(INDEX(Modelos!$D$2:$D$301,MATCH($B133,Modelos!$C$2:$C$301,0))&amp;"","")</f>
        <v/>
      </c>
      <c r="I133" s="7" t="str">
        <f>IFERROR(INDEX(Modelos!$E$2:$E$301,MATCH($B133,Modelos!$C$2:$C$301,0))&amp;"","")</f>
        <v/>
      </c>
      <c r="J133" s="7" t="str">
        <f>IFERROR(INDEX(Modelos!$F$2:$F$301,MATCH($B133,Modelos!$C$2:$C$301,0))&amp;"","")</f>
        <v/>
      </c>
      <c r="K133" s="7" t="str">
        <f>IFERROR(INDEX(Modelos!$G$2:$G$301,MATCH($B133,Modelos!$C$2:$C$301,0))&amp;"","")</f>
        <v/>
      </c>
      <c r="L133" s="7" t="str">
        <f>IFERROR(INDEX(Diccionarios!$G$2:$G$201,MATCH($C133,Diccionarios!$H$2:$H$201,0))&amp;"","")</f>
        <v/>
      </c>
      <c r="M133" s="7" t="str">
        <f>IF(D133="","",D133&amp;"")</f>
        <v/>
      </c>
      <c r="N133" s="8" t="str">
        <f>IF($B133="","",IFERROR(INDEX(Modelos!$H$2:$H$301,MATCH($B133,Modelos!$C$2:$C$301,0)),""))</f>
        <v/>
      </c>
      <c r="O133" s="8" t="str">
        <f>IF($B133="","",IFERROR(INDEX(Modelos!$I$2:$I$301,MATCH($B133,Modelos!$C$2:$C$301,0)),""))</f>
        <v/>
      </c>
      <c r="P133" s="8" t="str">
        <f>IF($B133="","",IFERROR(INDEX(Modelos!$J$2:$J$301,MATCH($B133,Modelos!$C$2:$C$301,0)),""))</f>
        <v/>
      </c>
      <c r="Q133" s="7" t="str">
        <f>IFERROR(INDEX(Diccionarios!$B$2:$B$201,MATCH($A133,Diccionarios!$D$2:$D$201,0))&amp;"","")</f>
        <v/>
      </c>
      <c r="R133" s="7" t="str">
        <f>IFERROR(INDEX(Diccionarios!$C$2:$C$201,MATCH($A133,Diccionarios!$D$2:$D$201,0))&amp;"","")</f>
        <v/>
      </c>
      <c r="S133" s="7" t="str">
        <f>IFERROR(INDEX(Modelos!$K$2:$K$301,MATCH($B133,Modelos!$C$2:$C$301,0))&amp;"","")</f>
        <v/>
      </c>
      <c r="T133" s="7" t="str">
        <f>IFERROR(INDEX(Modelos!$L$2:$L$301,MATCH($B133,Modelos!$C$2:$C$301,0))&amp;"","")</f>
        <v/>
      </c>
    </row>
    <row r="134" spans="1:20" x14ac:dyDescent="0.25">
      <c r="A134" s="5"/>
      <c r="B134" s="5"/>
      <c r="C134" s="5"/>
      <c r="D134" s="6"/>
      <c r="E134" s="5"/>
      <c r="F134" s="7" t="str">
        <f>IF(AND(A134&lt;&gt;"",B134&lt;&gt;"",C134&lt;&gt;"",D134&lt;&gt;""),LEFT(A134,2)&amp;LEFT(B134,4)&amp;LEFT(C134,2)&amp;SUBSTITUTE(UPPER(D134),"Ú","U"),"")</f>
        <v/>
      </c>
      <c r="G134" s="7" t="str">
        <f>IFERROR(INDEX(Modelos!$B$2:$B$301,MATCH($B134,Modelos!$C$2:$C$301,0))&amp;"","")</f>
        <v/>
      </c>
      <c r="H134" s="7" t="str">
        <f>IFERROR(INDEX(Modelos!$D$2:$D$301,MATCH($B134,Modelos!$C$2:$C$301,0))&amp;"","")</f>
        <v/>
      </c>
      <c r="I134" s="7" t="str">
        <f>IFERROR(INDEX(Modelos!$E$2:$E$301,MATCH($B134,Modelos!$C$2:$C$301,0))&amp;"","")</f>
        <v/>
      </c>
      <c r="J134" s="7" t="str">
        <f>IFERROR(INDEX(Modelos!$F$2:$F$301,MATCH($B134,Modelos!$C$2:$C$301,0))&amp;"","")</f>
        <v/>
      </c>
      <c r="K134" s="7" t="str">
        <f>IFERROR(INDEX(Modelos!$G$2:$G$301,MATCH($B134,Modelos!$C$2:$C$301,0))&amp;"","")</f>
        <v/>
      </c>
      <c r="L134" s="7" t="str">
        <f>IFERROR(INDEX(Diccionarios!$G$2:$G$201,MATCH($C134,Diccionarios!$H$2:$H$201,0))&amp;"","")</f>
        <v/>
      </c>
      <c r="M134" s="7" t="str">
        <f>IF(D134="","",D134&amp;"")</f>
        <v/>
      </c>
      <c r="N134" s="8" t="str">
        <f>IF($B134="","",IFERROR(INDEX(Modelos!$H$2:$H$301,MATCH($B134,Modelos!$C$2:$C$301,0)),""))</f>
        <v/>
      </c>
      <c r="O134" s="8" t="str">
        <f>IF($B134="","",IFERROR(INDEX(Modelos!$I$2:$I$301,MATCH($B134,Modelos!$C$2:$C$301,0)),""))</f>
        <v/>
      </c>
      <c r="P134" s="8" t="str">
        <f>IF($B134="","",IFERROR(INDEX(Modelos!$J$2:$J$301,MATCH($B134,Modelos!$C$2:$C$301,0)),""))</f>
        <v/>
      </c>
      <c r="Q134" s="7" t="str">
        <f>IFERROR(INDEX(Diccionarios!$B$2:$B$201,MATCH($A134,Diccionarios!$D$2:$D$201,0))&amp;"","")</f>
        <v/>
      </c>
      <c r="R134" s="7" t="str">
        <f>IFERROR(INDEX(Diccionarios!$C$2:$C$201,MATCH($A134,Diccionarios!$D$2:$D$201,0))&amp;"","")</f>
        <v/>
      </c>
      <c r="S134" s="7" t="str">
        <f>IFERROR(INDEX(Modelos!$K$2:$K$301,MATCH($B134,Modelos!$C$2:$C$301,0))&amp;"","")</f>
        <v/>
      </c>
      <c r="T134" s="7" t="str">
        <f>IFERROR(INDEX(Modelos!$L$2:$L$301,MATCH($B134,Modelos!$C$2:$C$301,0))&amp;"","")</f>
        <v/>
      </c>
    </row>
    <row r="135" spans="1:20" x14ac:dyDescent="0.25">
      <c r="A135" s="5"/>
      <c r="B135" s="5"/>
      <c r="C135" s="5"/>
      <c r="D135" s="6"/>
      <c r="E135" s="5"/>
      <c r="F135" s="7" t="str">
        <f>IF(AND(A135&lt;&gt;"",B135&lt;&gt;"",C135&lt;&gt;"",D135&lt;&gt;""),LEFT(A135,2)&amp;LEFT(B135,4)&amp;LEFT(C135,2)&amp;SUBSTITUTE(UPPER(D135),"Ú","U"),"")</f>
        <v/>
      </c>
      <c r="G135" s="7" t="str">
        <f>IFERROR(INDEX(Modelos!$B$2:$B$301,MATCH($B135,Modelos!$C$2:$C$301,0))&amp;"","")</f>
        <v/>
      </c>
      <c r="H135" s="7" t="str">
        <f>IFERROR(INDEX(Modelos!$D$2:$D$301,MATCH($B135,Modelos!$C$2:$C$301,0))&amp;"","")</f>
        <v/>
      </c>
      <c r="I135" s="7" t="str">
        <f>IFERROR(INDEX(Modelos!$E$2:$E$301,MATCH($B135,Modelos!$C$2:$C$301,0))&amp;"","")</f>
        <v/>
      </c>
      <c r="J135" s="7" t="str">
        <f>IFERROR(INDEX(Modelos!$F$2:$F$301,MATCH($B135,Modelos!$C$2:$C$301,0))&amp;"","")</f>
        <v/>
      </c>
      <c r="K135" s="7" t="str">
        <f>IFERROR(INDEX(Modelos!$G$2:$G$301,MATCH($B135,Modelos!$C$2:$C$301,0))&amp;"","")</f>
        <v/>
      </c>
      <c r="L135" s="7" t="str">
        <f>IFERROR(INDEX(Diccionarios!$G$2:$G$201,MATCH($C135,Diccionarios!$H$2:$H$201,0))&amp;"","")</f>
        <v/>
      </c>
      <c r="M135" s="7" t="str">
        <f>IF(D135="","",D135&amp;"")</f>
        <v/>
      </c>
      <c r="N135" s="8" t="str">
        <f>IF($B135="","",IFERROR(INDEX(Modelos!$H$2:$H$301,MATCH($B135,Modelos!$C$2:$C$301,0)),""))</f>
        <v/>
      </c>
      <c r="O135" s="8" t="str">
        <f>IF($B135="","",IFERROR(INDEX(Modelos!$I$2:$I$301,MATCH($B135,Modelos!$C$2:$C$301,0)),""))</f>
        <v/>
      </c>
      <c r="P135" s="8" t="str">
        <f>IF($B135="","",IFERROR(INDEX(Modelos!$J$2:$J$301,MATCH($B135,Modelos!$C$2:$C$301,0)),""))</f>
        <v/>
      </c>
      <c r="Q135" s="7" t="str">
        <f>IFERROR(INDEX(Diccionarios!$B$2:$B$201,MATCH($A135,Diccionarios!$D$2:$D$201,0))&amp;"","")</f>
        <v/>
      </c>
      <c r="R135" s="7" t="str">
        <f>IFERROR(INDEX(Diccionarios!$C$2:$C$201,MATCH($A135,Diccionarios!$D$2:$D$201,0))&amp;"","")</f>
        <v/>
      </c>
      <c r="S135" s="7" t="str">
        <f>IFERROR(INDEX(Modelos!$K$2:$K$301,MATCH($B135,Modelos!$C$2:$C$301,0))&amp;"","")</f>
        <v/>
      </c>
      <c r="T135" s="7" t="str">
        <f>IFERROR(INDEX(Modelos!$L$2:$L$301,MATCH($B135,Modelos!$C$2:$C$301,0))&amp;"","")</f>
        <v/>
      </c>
    </row>
    <row r="136" spans="1:20" x14ac:dyDescent="0.25">
      <c r="A136" s="5"/>
      <c r="B136" s="5"/>
      <c r="C136" s="5"/>
      <c r="D136" s="6"/>
      <c r="E136" s="5"/>
      <c r="F136" s="7" t="str">
        <f>IF(AND(A136&lt;&gt;"",B136&lt;&gt;"",C136&lt;&gt;"",D136&lt;&gt;""),LEFT(A136,2)&amp;LEFT(B136,4)&amp;LEFT(C136,2)&amp;SUBSTITUTE(UPPER(D136),"Ú","U"),"")</f>
        <v/>
      </c>
      <c r="G136" s="7" t="str">
        <f>IFERROR(INDEX(Modelos!$B$2:$B$301,MATCH($B136,Modelos!$C$2:$C$301,0))&amp;"","")</f>
        <v/>
      </c>
      <c r="H136" s="7" t="str">
        <f>IFERROR(INDEX(Modelos!$D$2:$D$301,MATCH($B136,Modelos!$C$2:$C$301,0))&amp;"","")</f>
        <v/>
      </c>
      <c r="I136" s="7" t="str">
        <f>IFERROR(INDEX(Modelos!$E$2:$E$301,MATCH($B136,Modelos!$C$2:$C$301,0))&amp;"","")</f>
        <v/>
      </c>
      <c r="J136" s="7" t="str">
        <f>IFERROR(INDEX(Modelos!$F$2:$F$301,MATCH($B136,Modelos!$C$2:$C$301,0))&amp;"","")</f>
        <v/>
      </c>
      <c r="K136" s="7" t="str">
        <f>IFERROR(INDEX(Modelos!$G$2:$G$301,MATCH($B136,Modelos!$C$2:$C$301,0))&amp;"","")</f>
        <v/>
      </c>
      <c r="L136" s="7" t="str">
        <f>IFERROR(INDEX(Diccionarios!$G$2:$G$201,MATCH($C136,Diccionarios!$H$2:$H$201,0))&amp;"","")</f>
        <v/>
      </c>
      <c r="M136" s="7" t="str">
        <f>IF(D136="","",D136&amp;"")</f>
        <v/>
      </c>
      <c r="N136" s="8" t="str">
        <f>IF($B136="","",IFERROR(INDEX(Modelos!$H$2:$H$301,MATCH($B136,Modelos!$C$2:$C$301,0)),""))</f>
        <v/>
      </c>
      <c r="O136" s="8" t="str">
        <f>IF($B136="","",IFERROR(INDEX(Modelos!$I$2:$I$301,MATCH($B136,Modelos!$C$2:$C$301,0)),""))</f>
        <v/>
      </c>
      <c r="P136" s="8" t="str">
        <f>IF($B136="","",IFERROR(INDEX(Modelos!$J$2:$J$301,MATCH($B136,Modelos!$C$2:$C$301,0)),""))</f>
        <v/>
      </c>
      <c r="Q136" s="7" t="str">
        <f>IFERROR(INDEX(Diccionarios!$B$2:$B$201,MATCH($A136,Diccionarios!$D$2:$D$201,0))&amp;"","")</f>
        <v/>
      </c>
      <c r="R136" s="7" t="str">
        <f>IFERROR(INDEX(Diccionarios!$C$2:$C$201,MATCH($A136,Diccionarios!$D$2:$D$201,0))&amp;"","")</f>
        <v/>
      </c>
      <c r="S136" s="7" t="str">
        <f>IFERROR(INDEX(Modelos!$K$2:$K$301,MATCH($B136,Modelos!$C$2:$C$301,0))&amp;"","")</f>
        <v/>
      </c>
      <c r="T136" s="7" t="str">
        <f>IFERROR(INDEX(Modelos!$L$2:$L$301,MATCH($B136,Modelos!$C$2:$C$301,0))&amp;"","")</f>
        <v/>
      </c>
    </row>
    <row r="137" spans="1:20" x14ac:dyDescent="0.25">
      <c r="A137" s="5"/>
      <c r="B137" s="5"/>
      <c r="C137" s="5"/>
      <c r="D137" s="6"/>
      <c r="E137" s="5"/>
      <c r="F137" s="7" t="str">
        <f>IF(AND(A137&lt;&gt;"",B137&lt;&gt;"",C137&lt;&gt;"",D137&lt;&gt;""),LEFT(A137,2)&amp;LEFT(B137,4)&amp;LEFT(C137,2)&amp;SUBSTITUTE(UPPER(D137),"Ú","U"),"")</f>
        <v/>
      </c>
      <c r="G137" s="7" t="str">
        <f>IFERROR(INDEX(Modelos!$B$2:$B$301,MATCH($B137,Modelos!$C$2:$C$301,0))&amp;"","")</f>
        <v/>
      </c>
      <c r="H137" s="7" t="str">
        <f>IFERROR(INDEX(Modelos!$D$2:$D$301,MATCH($B137,Modelos!$C$2:$C$301,0))&amp;"","")</f>
        <v/>
      </c>
      <c r="I137" s="7" t="str">
        <f>IFERROR(INDEX(Modelos!$E$2:$E$301,MATCH($B137,Modelos!$C$2:$C$301,0))&amp;"","")</f>
        <v/>
      </c>
      <c r="J137" s="7" t="str">
        <f>IFERROR(INDEX(Modelos!$F$2:$F$301,MATCH($B137,Modelos!$C$2:$C$301,0))&amp;"","")</f>
        <v/>
      </c>
      <c r="K137" s="7" t="str">
        <f>IFERROR(INDEX(Modelos!$G$2:$G$301,MATCH($B137,Modelos!$C$2:$C$301,0))&amp;"","")</f>
        <v/>
      </c>
      <c r="L137" s="7" t="str">
        <f>IFERROR(INDEX(Diccionarios!$G$2:$G$201,MATCH($C137,Diccionarios!$H$2:$H$201,0))&amp;"","")</f>
        <v/>
      </c>
      <c r="M137" s="7" t="str">
        <f>IF(D137="","",D137&amp;"")</f>
        <v/>
      </c>
      <c r="N137" s="8" t="str">
        <f>IF($B137="","",IFERROR(INDEX(Modelos!$H$2:$H$301,MATCH($B137,Modelos!$C$2:$C$301,0)),""))</f>
        <v/>
      </c>
      <c r="O137" s="8" t="str">
        <f>IF($B137="","",IFERROR(INDEX(Modelos!$I$2:$I$301,MATCH($B137,Modelos!$C$2:$C$301,0)),""))</f>
        <v/>
      </c>
      <c r="P137" s="8" t="str">
        <f>IF($B137="","",IFERROR(INDEX(Modelos!$J$2:$J$301,MATCH($B137,Modelos!$C$2:$C$301,0)),""))</f>
        <v/>
      </c>
      <c r="Q137" s="7" t="str">
        <f>IFERROR(INDEX(Diccionarios!$B$2:$B$201,MATCH($A137,Diccionarios!$D$2:$D$201,0))&amp;"","")</f>
        <v/>
      </c>
      <c r="R137" s="7" t="str">
        <f>IFERROR(INDEX(Diccionarios!$C$2:$C$201,MATCH($A137,Diccionarios!$D$2:$D$201,0))&amp;"","")</f>
        <v/>
      </c>
      <c r="S137" s="7" t="str">
        <f>IFERROR(INDEX(Modelos!$K$2:$K$301,MATCH($B137,Modelos!$C$2:$C$301,0))&amp;"","")</f>
        <v/>
      </c>
      <c r="T137" s="7" t="str">
        <f>IFERROR(INDEX(Modelos!$L$2:$L$301,MATCH($B137,Modelos!$C$2:$C$301,0))&amp;"","")</f>
        <v/>
      </c>
    </row>
    <row r="138" spans="1:20" x14ac:dyDescent="0.25">
      <c r="A138" s="5"/>
      <c r="B138" s="5"/>
      <c r="C138" s="5"/>
      <c r="D138" s="6"/>
      <c r="E138" s="5"/>
      <c r="F138" s="7" t="str">
        <f>IF(AND(A138&lt;&gt;"",B138&lt;&gt;"",C138&lt;&gt;"",D138&lt;&gt;""),LEFT(A138,2)&amp;LEFT(B138,4)&amp;LEFT(C138,2)&amp;SUBSTITUTE(UPPER(D138),"Ú","U"),"")</f>
        <v/>
      </c>
      <c r="G138" s="7" t="str">
        <f>IFERROR(INDEX(Modelos!$B$2:$B$301,MATCH($B138,Modelos!$C$2:$C$301,0))&amp;"","")</f>
        <v/>
      </c>
      <c r="H138" s="7" t="str">
        <f>IFERROR(INDEX(Modelos!$D$2:$D$301,MATCH($B138,Modelos!$C$2:$C$301,0))&amp;"","")</f>
        <v/>
      </c>
      <c r="I138" s="7" t="str">
        <f>IFERROR(INDEX(Modelos!$E$2:$E$301,MATCH($B138,Modelos!$C$2:$C$301,0))&amp;"","")</f>
        <v/>
      </c>
      <c r="J138" s="7" t="str">
        <f>IFERROR(INDEX(Modelos!$F$2:$F$301,MATCH($B138,Modelos!$C$2:$C$301,0))&amp;"","")</f>
        <v/>
      </c>
      <c r="K138" s="7" t="str">
        <f>IFERROR(INDEX(Modelos!$G$2:$G$301,MATCH($B138,Modelos!$C$2:$C$301,0))&amp;"","")</f>
        <v/>
      </c>
      <c r="L138" s="7" t="str">
        <f>IFERROR(INDEX(Diccionarios!$G$2:$G$201,MATCH($C138,Diccionarios!$H$2:$H$201,0))&amp;"","")</f>
        <v/>
      </c>
      <c r="M138" s="7" t="str">
        <f>IF(D138="","",D138&amp;"")</f>
        <v/>
      </c>
      <c r="N138" s="8" t="str">
        <f>IF($B138="","",IFERROR(INDEX(Modelos!$H$2:$H$301,MATCH($B138,Modelos!$C$2:$C$301,0)),""))</f>
        <v/>
      </c>
      <c r="O138" s="8" t="str">
        <f>IF($B138="","",IFERROR(INDEX(Modelos!$I$2:$I$301,MATCH($B138,Modelos!$C$2:$C$301,0)),""))</f>
        <v/>
      </c>
      <c r="P138" s="8" t="str">
        <f>IF($B138="","",IFERROR(INDEX(Modelos!$J$2:$J$301,MATCH($B138,Modelos!$C$2:$C$301,0)),""))</f>
        <v/>
      </c>
      <c r="Q138" s="7" t="str">
        <f>IFERROR(INDEX(Diccionarios!$B$2:$B$201,MATCH($A138,Diccionarios!$D$2:$D$201,0))&amp;"","")</f>
        <v/>
      </c>
      <c r="R138" s="7" t="str">
        <f>IFERROR(INDEX(Diccionarios!$C$2:$C$201,MATCH($A138,Diccionarios!$D$2:$D$201,0))&amp;"","")</f>
        <v/>
      </c>
      <c r="S138" s="7" t="str">
        <f>IFERROR(INDEX(Modelos!$K$2:$K$301,MATCH($B138,Modelos!$C$2:$C$301,0))&amp;"","")</f>
        <v/>
      </c>
      <c r="T138" s="7" t="str">
        <f>IFERROR(INDEX(Modelos!$L$2:$L$301,MATCH($B138,Modelos!$C$2:$C$301,0))&amp;"","")</f>
        <v/>
      </c>
    </row>
    <row r="139" spans="1:20" x14ac:dyDescent="0.25">
      <c r="A139" s="5"/>
      <c r="B139" s="5"/>
      <c r="C139" s="5"/>
      <c r="D139" s="6"/>
      <c r="E139" s="5"/>
      <c r="F139" s="7" t="str">
        <f>IF(AND(A139&lt;&gt;"",B139&lt;&gt;"",C139&lt;&gt;"",D139&lt;&gt;""),LEFT(A139,2)&amp;LEFT(B139,4)&amp;LEFT(C139,2)&amp;SUBSTITUTE(UPPER(D139),"Ú","U"),"")</f>
        <v/>
      </c>
      <c r="G139" s="7" t="str">
        <f>IFERROR(INDEX(Modelos!$B$2:$B$301,MATCH($B139,Modelos!$C$2:$C$301,0))&amp;"","")</f>
        <v/>
      </c>
      <c r="H139" s="7" t="str">
        <f>IFERROR(INDEX(Modelos!$D$2:$D$301,MATCH($B139,Modelos!$C$2:$C$301,0))&amp;"","")</f>
        <v/>
      </c>
      <c r="I139" s="7" t="str">
        <f>IFERROR(INDEX(Modelos!$E$2:$E$301,MATCH($B139,Modelos!$C$2:$C$301,0))&amp;"","")</f>
        <v/>
      </c>
      <c r="J139" s="7" t="str">
        <f>IFERROR(INDEX(Modelos!$F$2:$F$301,MATCH($B139,Modelos!$C$2:$C$301,0))&amp;"","")</f>
        <v/>
      </c>
      <c r="K139" s="7" t="str">
        <f>IFERROR(INDEX(Modelos!$G$2:$G$301,MATCH($B139,Modelos!$C$2:$C$301,0))&amp;"","")</f>
        <v/>
      </c>
      <c r="L139" s="7" t="str">
        <f>IFERROR(INDEX(Diccionarios!$G$2:$G$201,MATCH($C139,Diccionarios!$H$2:$H$201,0))&amp;"","")</f>
        <v/>
      </c>
      <c r="M139" s="7" t="str">
        <f>IF(D139="","",D139&amp;"")</f>
        <v/>
      </c>
      <c r="N139" s="8" t="str">
        <f>IF($B139="","",IFERROR(INDEX(Modelos!$H$2:$H$301,MATCH($B139,Modelos!$C$2:$C$301,0)),""))</f>
        <v/>
      </c>
      <c r="O139" s="8" t="str">
        <f>IF($B139="","",IFERROR(INDEX(Modelos!$I$2:$I$301,MATCH($B139,Modelos!$C$2:$C$301,0)),""))</f>
        <v/>
      </c>
      <c r="P139" s="8" t="str">
        <f>IF($B139="","",IFERROR(INDEX(Modelos!$J$2:$J$301,MATCH($B139,Modelos!$C$2:$C$301,0)),""))</f>
        <v/>
      </c>
      <c r="Q139" s="7" t="str">
        <f>IFERROR(INDEX(Diccionarios!$B$2:$B$201,MATCH($A139,Diccionarios!$D$2:$D$201,0))&amp;"","")</f>
        <v/>
      </c>
      <c r="R139" s="7" t="str">
        <f>IFERROR(INDEX(Diccionarios!$C$2:$C$201,MATCH($A139,Diccionarios!$D$2:$D$201,0))&amp;"","")</f>
        <v/>
      </c>
      <c r="S139" s="7" t="str">
        <f>IFERROR(INDEX(Modelos!$K$2:$K$301,MATCH($B139,Modelos!$C$2:$C$301,0))&amp;"","")</f>
        <v/>
      </c>
      <c r="T139" s="7" t="str">
        <f>IFERROR(INDEX(Modelos!$L$2:$L$301,MATCH($B139,Modelos!$C$2:$C$301,0))&amp;"","")</f>
        <v/>
      </c>
    </row>
    <row r="140" spans="1:20" x14ac:dyDescent="0.25">
      <c r="A140" s="5"/>
      <c r="B140" s="5"/>
      <c r="C140" s="5"/>
      <c r="D140" s="6"/>
      <c r="E140" s="5"/>
      <c r="F140" s="7" t="str">
        <f>IF(AND(A140&lt;&gt;"",B140&lt;&gt;"",C140&lt;&gt;"",D140&lt;&gt;""),LEFT(A140,2)&amp;LEFT(B140,4)&amp;LEFT(C140,2)&amp;SUBSTITUTE(UPPER(D140),"Ú","U"),"")</f>
        <v/>
      </c>
      <c r="G140" s="7" t="str">
        <f>IFERROR(INDEX(Modelos!$B$2:$B$301,MATCH($B140,Modelos!$C$2:$C$301,0))&amp;"","")</f>
        <v/>
      </c>
      <c r="H140" s="7" t="str">
        <f>IFERROR(INDEX(Modelos!$D$2:$D$301,MATCH($B140,Modelos!$C$2:$C$301,0))&amp;"","")</f>
        <v/>
      </c>
      <c r="I140" s="7" t="str">
        <f>IFERROR(INDEX(Modelos!$E$2:$E$301,MATCH($B140,Modelos!$C$2:$C$301,0))&amp;"","")</f>
        <v/>
      </c>
      <c r="J140" s="7" t="str">
        <f>IFERROR(INDEX(Modelos!$F$2:$F$301,MATCH($B140,Modelos!$C$2:$C$301,0))&amp;"","")</f>
        <v/>
      </c>
      <c r="K140" s="7" t="str">
        <f>IFERROR(INDEX(Modelos!$G$2:$G$301,MATCH($B140,Modelos!$C$2:$C$301,0))&amp;"","")</f>
        <v/>
      </c>
      <c r="L140" s="7" t="str">
        <f>IFERROR(INDEX(Diccionarios!$G$2:$G$201,MATCH($C140,Diccionarios!$H$2:$H$201,0))&amp;"","")</f>
        <v/>
      </c>
      <c r="M140" s="7" t="str">
        <f>IF(D140="","",D140&amp;"")</f>
        <v/>
      </c>
      <c r="N140" s="8" t="str">
        <f>IF($B140="","",IFERROR(INDEX(Modelos!$H$2:$H$301,MATCH($B140,Modelos!$C$2:$C$301,0)),""))</f>
        <v/>
      </c>
      <c r="O140" s="8" t="str">
        <f>IF($B140="","",IFERROR(INDEX(Modelos!$I$2:$I$301,MATCH($B140,Modelos!$C$2:$C$301,0)),""))</f>
        <v/>
      </c>
      <c r="P140" s="8" t="str">
        <f>IF($B140="","",IFERROR(INDEX(Modelos!$J$2:$J$301,MATCH($B140,Modelos!$C$2:$C$301,0)),""))</f>
        <v/>
      </c>
      <c r="Q140" s="7" t="str">
        <f>IFERROR(INDEX(Diccionarios!$B$2:$B$201,MATCH($A140,Diccionarios!$D$2:$D$201,0))&amp;"","")</f>
        <v/>
      </c>
      <c r="R140" s="7" t="str">
        <f>IFERROR(INDEX(Diccionarios!$C$2:$C$201,MATCH($A140,Diccionarios!$D$2:$D$201,0))&amp;"","")</f>
        <v/>
      </c>
      <c r="S140" s="7" t="str">
        <f>IFERROR(INDEX(Modelos!$K$2:$K$301,MATCH($B140,Modelos!$C$2:$C$301,0))&amp;"","")</f>
        <v/>
      </c>
      <c r="T140" s="7" t="str">
        <f>IFERROR(INDEX(Modelos!$L$2:$L$301,MATCH($B140,Modelos!$C$2:$C$301,0))&amp;"","")</f>
        <v/>
      </c>
    </row>
    <row r="141" spans="1:20" x14ac:dyDescent="0.25">
      <c r="A141" s="5"/>
      <c r="B141" s="5"/>
      <c r="C141" s="5"/>
      <c r="D141" s="6"/>
      <c r="E141" s="5"/>
      <c r="F141" s="7" t="str">
        <f>IF(AND(A141&lt;&gt;"",B141&lt;&gt;"",C141&lt;&gt;"",D141&lt;&gt;""),LEFT(A141,2)&amp;LEFT(B141,4)&amp;LEFT(C141,2)&amp;SUBSTITUTE(UPPER(D141),"Ú","U"),"")</f>
        <v/>
      </c>
      <c r="G141" s="7" t="str">
        <f>IFERROR(INDEX(Modelos!$B$2:$B$301,MATCH($B141,Modelos!$C$2:$C$301,0))&amp;"","")</f>
        <v/>
      </c>
      <c r="H141" s="7" t="str">
        <f>IFERROR(INDEX(Modelos!$D$2:$D$301,MATCH($B141,Modelos!$C$2:$C$301,0))&amp;"","")</f>
        <v/>
      </c>
      <c r="I141" s="7" t="str">
        <f>IFERROR(INDEX(Modelos!$E$2:$E$301,MATCH($B141,Modelos!$C$2:$C$301,0))&amp;"","")</f>
        <v/>
      </c>
      <c r="J141" s="7" t="str">
        <f>IFERROR(INDEX(Modelos!$F$2:$F$301,MATCH($B141,Modelos!$C$2:$C$301,0))&amp;"","")</f>
        <v/>
      </c>
      <c r="K141" s="7" t="str">
        <f>IFERROR(INDEX(Modelos!$G$2:$G$301,MATCH($B141,Modelos!$C$2:$C$301,0))&amp;"","")</f>
        <v/>
      </c>
      <c r="L141" s="7" t="str">
        <f>IFERROR(INDEX(Diccionarios!$G$2:$G$201,MATCH($C141,Diccionarios!$H$2:$H$201,0))&amp;"","")</f>
        <v/>
      </c>
      <c r="M141" s="7" t="str">
        <f>IF(D141="","",D141&amp;"")</f>
        <v/>
      </c>
      <c r="N141" s="8" t="str">
        <f>IF($B141="","",IFERROR(INDEX(Modelos!$H$2:$H$301,MATCH($B141,Modelos!$C$2:$C$301,0)),""))</f>
        <v/>
      </c>
      <c r="O141" s="8" t="str">
        <f>IF($B141="","",IFERROR(INDEX(Modelos!$I$2:$I$301,MATCH($B141,Modelos!$C$2:$C$301,0)),""))</f>
        <v/>
      </c>
      <c r="P141" s="8" t="str">
        <f>IF($B141="","",IFERROR(INDEX(Modelos!$J$2:$J$301,MATCH($B141,Modelos!$C$2:$C$301,0)),""))</f>
        <v/>
      </c>
      <c r="Q141" s="7" t="str">
        <f>IFERROR(INDEX(Diccionarios!$B$2:$B$201,MATCH($A141,Diccionarios!$D$2:$D$201,0))&amp;"","")</f>
        <v/>
      </c>
      <c r="R141" s="7" t="str">
        <f>IFERROR(INDEX(Diccionarios!$C$2:$C$201,MATCH($A141,Diccionarios!$D$2:$D$201,0))&amp;"","")</f>
        <v/>
      </c>
      <c r="S141" s="7" t="str">
        <f>IFERROR(INDEX(Modelos!$K$2:$K$301,MATCH($B141,Modelos!$C$2:$C$301,0))&amp;"","")</f>
        <v/>
      </c>
      <c r="T141" s="7" t="str">
        <f>IFERROR(INDEX(Modelos!$L$2:$L$301,MATCH($B141,Modelos!$C$2:$C$301,0))&amp;"","")</f>
        <v/>
      </c>
    </row>
    <row r="142" spans="1:20" x14ac:dyDescent="0.25">
      <c r="A142" s="5"/>
      <c r="B142" s="5"/>
      <c r="C142" s="5"/>
      <c r="D142" s="6"/>
      <c r="E142" s="5"/>
      <c r="F142" s="7" t="str">
        <f>IF(AND(A142&lt;&gt;"",B142&lt;&gt;"",C142&lt;&gt;"",D142&lt;&gt;""),LEFT(A142,2)&amp;LEFT(B142,4)&amp;LEFT(C142,2)&amp;SUBSTITUTE(UPPER(D142),"Ú","U"),"")</f>
        <v/>
      </c>
      <c r="G142" s="7" t="str">
        <f>IFERROR(INDEX(Modelos!$B$2:$B$301,MATCH($B142,Modelos!$C$2:$C$301,0))&amp;"","")</f>
        <v/>
      </c>
      <c r="H142" s="7" t="str">
        <f>IFERROR(INDEX(Modelos!$D$2:$D$301,MATCH($B142,Modelos!$C$2:$C$301,0))&amp;"","")</f>
        <v/>
      </c>
      <c r="I142" s="7" t="str">
        <f>IFERROR(INDEX(Modelos!$E$2:$E$301,MATCH($B142,Modelos!$C$2:$C$301,0))&amp;"","")</f>
        <v/>
      </c>
      <c r="J142" s="7" t="str">
        <f>IFERROR(INDEX(Modelos!$F$2:$F$301,MATCH($B142,Modelos!$C$2:$C$301,0))&amp;"","")</f>
        <v/>
      </c>
      <c r="K142" s="7" t="str">
        <f>IFERROR(INDEX(Modelos!$G$2:$G$301,MATCH($B142,Modelos!$C$2:$C$301,0))&amp;"","")</f>
        <v/>
      </c>
      <c r="L142" s="7" t="str">
        <f>IFERROR(INDEX(Diccionarios!$G$2:$G$201,MATCH($C142,Diccionarios!$H$2:$H$201,0))&amp;"","")</f>
        <v/>
      </c>
      <c r="M142" s="7" t="str">
        <f>IF(D142="","",D142&amp;"")</f>
        <v/>
      </c>
      <c r="N142" s="8" t="str">
        <f>IF($B142="","",IFERROR(INDEX(Modelos!$H$2:$H$301,MATCH($B142,Modelos!$C$2:$C$301,0)),""))</f>
        <v/>
      </c>
      <c r="O142" s="8" t="str">
        <f>IF($B142="","",IFERROR(INDEX(Modelos!$I$2:$I$301,MATCH($B142,Modelos!$C$2:$C$301,0)),""))</f>
        <v/>
      </c>
      <c r="P142" s="8" t="str">
        <f>IF($B142="","",IFERROR(INDEX(Modelos!$J$2:$J$301,MATCH($B142,Modelos!$C$2:$C$301,0)),""))</f>
        <v/>
      </c>
      <c r="Q142" s="7" t="str">
        <f>IFERROR(INDEX(Diccionarios!$B$2:$B$201,MATCH($A142,Diccionarios!$D$2:$D$201,0))&amp;"","")</f>
        <v/>
      </c>
      <c r="R142" s="7" t="str">
        <f>IFERROR(INDEX(Diccionarios!$C$2:$C$201,MATCH($A142,Diccionarios!$D$2:$D$201,0))&amp;"","")</f>
        <v/>
      </c>
      <c r="S142" s="7" t="str">
        <f>IFERROR(INDEX(Modelos!$K$2:$K$301,MATCH($B142,Modelos!$C$2:$C$301,0))&amp;"","")</f>
        <v/>
      </c>
      <c r="T142" s="7" t="str">
        <f>IFERROR(INDEX(Modelos!$L$2:$L$301,MATCH($B142,Modelos!$C$2:$C$301,0))&amp;"","")</f>
        <v/>
      </c>
    </row>
    <row r="143" spans="1:20" x14ac:dyDescent="0.25">
      <c r="A143" s="5"/>
      <c r="B143" s="5"/>
      <c r="C143" s="5"/>
      <c r="D143" s="6"/>
      <c r="E143" s="5"/>
      <c r="F143" s="7" t="str">
        <f>IF(AND(A143&lt;&gt;"",B143&lt;&gt;"",C143&lt;&gt;"",D143&lt;&gt;""),LEFT(A143,2)&amp;LEFT(B143,4)&amp;LEFT(C143,2)&amp;SUBSTITUTE(UPPER(D143),"Ú","U"),"")</f>
        <v/>
      </c>
      <c r="G143" s="7" t="str">
        <f>IFERROR(INDEX(Modelos!$B$2:$B$301,MATCH($B143,Modelos!$C$2:$C$301,0))&amp;"","")</f>
        <v/>
      </c>
      <c r="H143" s="7" t="str">
        <f>IFERROR(INDEX(Modelos!$D$2:$D$301,MATCH($B143,Modelos!$C$2:$C$301,0))&amp;"","")</f>
        <v/>
      </c>
      <c r="I143" s="7" t="str">
        <f>IFERROR(INDEX(Modelos!$E$2:$E$301,MATCH($B143,Modelos!$C$2:$C$301,0))&amp;"","")</f>
        <v/>
      </c>
      <c r="J143" s="7" t="str">
        <f>IFERROR(INDEX(Modelos!$F$2:$F$301,MATCH($B143,Modelos!$C$2:$C$301,0))&amp;"","")</f>
        <v/>
      </c>
      <c r="K143" s="7" t="str">
        <f>IFERROR(INDEX(Modelos!$G$2:$G$301,MATCH($B143,Modelos!$C$2:$C$301,0))&amp;"","")</f>
        <v/>
      </c>
      <c r="L143" s="7" t="str">
        <f>IFERROR(INDEX(Diccionarios!$G$2:$G$201,MATCH($C143,Diccionarios!$H$2:$H$201,0))&amp;"","")</f>
        <v/>
      </c>
      <c r="M143" s="7" t="str">
        <f>IF(D143="","",D143&amp;"")</f>
        <v/>
      </c>
      <c r="N143" s="8" t="str">
        <f>IF($B143="","",IFERROR(INDEX(Modelos!$H$2:$H$301,MATCH($B143,Modelos!$C$2:$C$301,0)),""))</f>
        <v/>
      </c>
      <c r="O143" s="8" t="str">
        <f>IF($B143="","",IFERROR(INDEX(Modelos!$I$2:$I$301,MATCH($B143,Modelos!$C$2:$C$301,0)),""))</f>
        <v/>
      </c>
      <c r="P143" s="8" t="str">
        <f>IF($B143="","",IFERROR(INDEX(Modelos!$J$2:$J$301,MATCH($B143,Modelos!$C$2:$C$301,0)),""))</f>
        <v/>
      </c>
      <c r="Q143" s="7" t="str">
        <f>IFERROR(INDEX(Diccionarios!$B$2:$B$201,MATCH($A143,Diccionarios!$D$2:$D$201,0))&amp;"","")</f>
        <v/>
      </c>
      <c r="R143" s="7" t="str">
        <f>IFERROR(INDEX(Diccionarios!$C$2:$C$201,MATCH($A143,Diccionarios!$D$2:$D$201,0))&amp;"","")</f>
        <v/>
      </c>
      <c r="S143" s="7" t="str">
        <f>IFERROR(INDEX(Modelos!$K$2:$K$301,MATCH($B143,Modelos!$C$2:$C$301,0))&amp;"","")</f>
        <v/>
      </c>
      <c r="T143" s="7" t="str">
        <f>IFERROR(INDEX(Modelos!$L$2:$L$301,MATCH($B143,Modelos!$C$2:$C$301,0))&amp;"","")</f>
        <v/>
      </c>
    </row>
    <row r="144" spans="1:20" x14ac:dyDescent="0.25">
      <c r="A144" s="5"/>
      <c r="B144" s="5"/>
      <c r="C144" s="5"/>
      <c r="D144" s="6"/>
      <c r="E144" s="5"/>
      <c r="F144" s="7" t="str">
        <f>IF(AND(A144&lt;&gt;"",B144&lt;&gt;"",C144&lt;&gt;"",D144&lt;&gt;""),LEFT(A144,2)&amp;LEFT(B144,4)&amp;LEFT(C144,2)&amp;SUBSTITUTE(UPPER(D144),"Ú","U"),"")</f>
        <v/>
      </c>
      <c r="G144" s="7" t="str">
        <f>IFERROR(INDEX(Modelos!$B$2:$B$301,MATCH($B144,Modelos!$C$2:$C$301,0))&amp;"","")</f>
        <v/>
      </c>
      <c r="H144" s="7" t="str">
        <f>IFERROR(INDEX(Modelos!$D$2:$D$301,MATCH($B144,Modelos!$C$2:$C$301,0))&amp;"","")</f>
        <v/>
      </c>
      <c r="I144" s="7" t="str">
        <f>IFERROR(INDEX(Modelos!$E$2:$E$301,MATCH($B144,Modelos!$C$2:$C$301,0))&amp;"","")</f>
        <v/>
      </c>
      <c r="J144" s="7" t="str">
        <f>IFERROR(INDEX(Modelos!$F$2:$F$301,MATCH($B144,Modelos!$C$2:$C$301,0))&amp;"","")</f>
        <v/>
      </c>
      <c r="K144" s="7" t="str">
        <f>IFERROR(INDEX(Modelos!$G$2:$G$301,MATCH($B144,Modelos!$C$2:$C$301,0))&amp;"","")</f>
        <v/>
      </c>
      <c r="L144" s="7" t="str">
        <f>IFERROR(INDEX(Diccionarios!$G$2:$G$201,MATCH($C144,Diccionarios!$H$2:$H$201,0))&amp;"","")</f>
        <v/>
      </c>
      <c r="M144" s="7" t="str">
        <f>IF(D144="","",D144&amp;"")</f>
        <v/>
      </c>
      <c r="N144" s="8" t="str">
        <f>IF($B144="","",IFERROR(INDEX(Modelos!$H$2:$H$301,MATCH($B144,Modelos!$C$2:$C$301,0)),""))</f>
        <v/>
      </c>
      <c r="O144" s="8" t="str">
        <f>IF($B144="","",IFERROR(INDEX(Modelos!$I$2:$I$301,MATCH($B144,Modelos!$C$2:$C$301,0)),""))</f>
        <v/>
      </c>
      <c r="P144" s="8" t="str">
        <f>IF($B144="","",IFERROR(INDEX(Modelos!$J$2:$J$301,MATCH($B144,Modelos!$C$2:$C$301,0)),""))</f>
        <v/>
      </c>
      <c r="Q144" s="7" t="str">
        <f>IFERROR(INDEX(Diccionarios!$B$2:$B$201,MATCH($A144,Diccionarios!$D$2:$D$201,0))&amp;"","")</f>
        <v/>
      </c>
      <c r="R144" s="7" t="str">
        <f>IFERROR(INDEX(Diccionarios!$C$2:$C$201,MATCH($A144,Diccionarios!$D$2:$D$201,0))&amp;"","")</f>
        <v/>
      </c>
      <c r="S144" s="7" t="str">
        <f>IFERROR(INDEX(Modelos!$K$2:$K$301,MATCH($B144,Modelos!$C$2:$C$301,0))&amp;"","")</f>
        <v/>
      </c>
      <c r="T144" s="7" t="str">
        <f>IFERROR(INDEX(Modelos!$L$2:$L$301,MATCH($B144,Modelos!$C$2:$C$301,0))&amp;"","")</f>
        <v/>
      </c>
    </row>
    <row r="145" spans="1:20" x14ac:dyDescent="0.25">
      <c r="A145" s="5"/>
      <c r="B145" s="5"/>
      <c r="C145" s="5"/>
      <c r="D145" s="6"/>
      <c r="E145" s="5"/>
      <c r="F145" s="7" t="str">
        <f>IF(AND(A145&lt;&gt;"",B145&lt;&gt;"",C145&lt;&gt;"",D145&lt;&gt;""),LEFT(A145,2)&amp;LEFT(B145,4)&amp;LEFT(C145,2)&amp;SUBSTITUTE(UPPER(D145),"Ú","U"),"")</f>
        <v/>
      </c>
      <c r="G145" s="7" t="str">
        <f>IFERROR(INDEX(Modelos!$B$2:$B$301,MATCH($B145,Modelos!$C$2:$C$301,0))&amp;"","")</f>
        <v/>
      </c>
      <c r="H145" s="7" t="str">
        <f>IFERROR(INDEX(Modelos!$D$2:$D$301,MATCH($B145,Modelos!$C$2:$C$301,0))&amp;"","")</f>
        <v/>
      </c>
      <c r="I145" s="7" t="str">
        <f>IFERROR(INDEX(Modelos!$E$2:$E$301,MATCH($B145,Modelos!$C$2:$C$301,0))&amp;"","")</f>
        <v/>
      </c>
      <c r="J145" s="7" t="str">
        <f>IFERROR(INDEX(Modelos!$F$2:$F$301,MATCH($B145,Modelos!$C$2:$C$301,0))&amp;"","")</f>
        <v/>
      </c>
      <c r="K145" s="7" t="str">
        <f>IFERROR(INDEX(Modelos!$G$2:$G$301,MATCH($B145,Modelos!$C$2:$C$301,0))&amp;"","")</f>
        <v/>
      </c>
      <c r="L145" s="7" t="str">
        <f>IFERROR(INDEX(Diccionarios!$G$2:$G$201,MATCH($C145,Diccionarios!$H$2:$H$201,0))&amp;"","")</f>
        <v/>
      </c>
      <c r="M145" s="7" t="str">
        <f>IF(D145="","",D145&amp;"")</f>
        <v/>
      </c>
      <c r="N145" s="8" t="str">
        <f>IF($B145="","",IFERROR(INDEX(Modelos!$H$2:$H$301,MATCH($B145,Modelos!$C$2:$C$301,0)),""))</f>
        <v/>
      </c>
      <c r="O145" s="8" t="str">
        <f>IF($B145="","",IFERROR(INDEX(Modelos!$I$2:$I$301,MATCH($B145,Modelos!$C$2:$C$301,0)),""))</f>
        <v/>
      </c>
      <c r="P145" s="8" t="str">
        <f>IF($B145="","",IFERROR(INDEX(Modelos!$J$2:$J$301,MATCH($B145,Modelos!$C$2:$C$301,0)),""))</f>
        <v/>
      </c>
      <c r="Q145" s="7" t="str">
        <f>IFERROR(INDEX(Diccionarios!$B$2:$B$201,MATCH($A145,Diccionarios!$D$2:$D$201,0))&amp;"","")</f>
        <v/>
      </c>
      <c r="R145" s="7" t="str">
        <f>IFERROR(INDEX(Diccionarios!$C$2:$C$201,MATCH($A145,Diccionarios!$D$2:$D$201,0))&amp;"","")</f>
        <v/>
      </c>
      <c r="S145" s="7" t="str">
        <f>IFERROR(INDEX(Modelos!$K$2:$K$301,MATCH($B145,Modelos!$C$2:$C$301,0))&amp;"","")</f>
        <v/>
      </c>
      <c r="T145" s="7" t="str">
        <f>IFERROR(INDEX(Modelos!$L$2:$L$301,MATCH($B145,Modelos!$C$2:$C$301,0))&amp;"","")</f>
        <v/>
      </c>
    </row>
    <row r="146" spans="1:20" x14ac:dyDescent="0.25">
      <c r="A146" s="5"/>
      <c r="B146" s="5"/>
      <c r="C146" s="5"/>
      <c r="D146" s="6"/>
      <c r="E146" s="5"/>
      <c r="F146" s="7" t="str">
        <f>IF(AND(A146&lt;&gt;"",B146&lt;&gt;"",C146&lt;&gt;"",D146&lt;&gt;""),LEFT(A146,2)&amp;LEFT(B146,4)&amp;LEFT(C146,2)&amp;SUBSTITUTE(UPPER(D146),"Ú","U"),"")</f>
        <v/>
      </c>
      <c r="G146" s="7" t="str">
        <f>IFERROR(INDEX(Modelos!$B$2:$B$301,MATCH($B146,Modelos!$C$2:$C$301,0))&amp;"","")</f>
        <v/>
      </c>
      <c r="H146" s="7" t="str">
        <f>IFERROR(INDEX(Modelos!$D$2:$D$301,MATCH($B146,Modelos!$C$2:$C$301,0))&amp;"","")</f>
        <v/>
      </c>
      <c r="I146" s="7" t="str">
        <f>IFERROR(INDEX(Modelos!$E$2:$E$301,MATCH($B146,Modelos!$C$2:$C$301,0))&amp;"","")</f>
        <v/>
      </c>
      <c r="J146" s="7" t="str">
        <f>IFERROR(INDEX(Modelos!$F$2:$F$301,MATCH($B146,Modelos!$C$2:$C$301,0))&amp;"","")</f>
        <v/>
      </c>
      <c r="K146" s="7" t="str">
        <f>IFERROR(INDEX(Modelos!$G$2:$G$301,MATCH($B146,Modelos!$C$2:$C$301,0))&amp;"","")</f>
        <v/>
      </c>
      <c r="L146" s="7" t="str">
        <f>IFERROR(INDEX(Diccionarios!$G$2:$G$201,MATCH($C146,Diccionarios!$H$2:$H$201,0))&amp;"","")</f>
        <v/>
      </c>
      <c r="M146" s="7" t="str">
        <f>IF(D146="","",D146&amp;"")</f>
        <v/>
      </c>
      <c r="N146" s="8" t="str">
        <f>IF($B146="","",IFERROR(INDEX(Modelos!$H$2:$H$301,MATCH($B146,Modelos!$C$2:$C$301,0)),""))</f>
        <v/>
      </c>
      <c r="O146" s="8" t="str">
        <f>IF($B146="","",IFERROR(INDEX(Modelos!$I$2:$I$301,MATCH($B146,Modelos!$C$2:$C$301,0)),""))</f>
        <v/>
      </c>
      <c r="P146" s="8" t="str">
        <f>IF($B146="","",IFERROR(INDEX(Modelos!$J$2:$J$301,MATCH($B146,Modelos!$C$2:$C$301,0)),""))</f>
        <v/>
      </c>
      <c r="Q146" s="7" t="str">
        <f>IFERROR(INDEX(Diccionarios!$B$2:$B$201,MATCH($A146,Diccionarios!$D$2:$D$201,0))&amp;"","")</f>
        <v/>
      </c>
      <c r="R146" s="7" t="str">
        <f>IFERROR(INDEX(Diccionarios!$C$2:$C$201,MATCH($A146,Diccionarios!$D$2:$D$201,0))&amp;"","")</f>
        <v/>
      </c>
      <c r="S146" s="7" t="str">
        <f>IFERROR(INDEX(Modelos!$K$2:$K$301,MATCH($B146,Modelos!$C$2:$C$301,0))&amp;"","")</f>
        <v/>
      </c>
      <c r="T146" s="7" t="str">
        <f>IFERROR(INDEX(Modelos!$L$2:$L$301,MATCH($B146,Modelos!$C$2:$C$301,0))&amp;"","")</f>
        <v/>
      </c>
    </row>
    <row r="147" spans="1:20" x14ac:dyDescent="0.25">
      <c r="A147" s="5"/>
      <c r="B147" s="5"/>
      <c r="C147" s="5"/>
      <c r="D147" s="6"/>
      <c r="E147" s="5"/>
      <c r="F147" s="7" t="str">
        <f>IF(AND(A147&lt;&gt;"",B147&lt;&gt;"",C147&lt;&gt;"",D147&lt;&gt;""),LEFT(A147,2)&amp;LEFT(B147,4)&amp;LEFT(C147,2)&amp;SUBSTITUTE(UPPER(D147),"Ú","U"),"")</f>
        <v/>
      </c>
      <c r="G147" s="7" t="str">
        <f>IFERROR(INDEX(Modelos!$B$2:$B$301,MATCH($B147,Modelos!$C$2:$C$301,0))&amp;"","")</f>
        <v/>
      </c>
      <c r="H147" s="7" t="str">
        <f>IFERROR(INDEX(Modelos!$D$2:$D$301,MATCH($B147,Modelos!$C$2:$C$301,0))&amp;"","")</f>
        <v/>
      </c>
      <c r="I147" s="7" t="str">
        <f>IFERROR(INDEX(Modelos!$E$2:$E$301,MATCH($B147,Modelos!$C$2:$C$301,0))&amp;"","")</f>
        <v/>
      </c>
      <c r="J147" s="7" t="str">
        <f>IFERROR(INDEX(Modelos!$F$2:$F$301,MATCH($B147,Modelos!$C$2:$C$301,0))&amp;"","")</f>
        <v/>
      </c>
      <c r="K147" s="7" t="str">
        <f>IFERROR(INDEX(Modelos!$G$2:$G$301,MATCH($B147,Modelos!$C$2:$C$301,0))&amp;"","")</f>
        <v/>
      </c>
      <c r="L147" s="7" t="str">
        <f>IFERROR(INDEX(Diccionarios!$G$2:$G$201,MATCH($C147,Diccionarios!$H$2:$H$201,0))&amp;"","")</f>
        <v/>
      </c>
      <c r="M147" s="7" t="str">
        <f>IF(D147="","",D147&amp;"")</f>
        <v/>
      </c>
      <c r="N147" s="8" t="str">
        <f>IF($B147="","",IFERROR(INDEX(Modelos!$H$2:$H$301,MATCH($B147,Modelos!$C$2:$C$301,0)),""))</f>
        <v/>
      </c>
      <c r="O147" s="8" t="str">
        <f>IF($B147="","",IFERROR(INDEX(Modelos!$I$2:$I$301,MATCH($B147,Modelos!$C$2:$C$301,0)),""))</f>
        <v/>
      </c>
      <c r="P147" s="8" t="str">
        <f>IF($B147="","",IFERROR(INDEX(Modelos!$J$2:$J$301,MATCH($B147,Modelos!$C$2:$C$301,0)),""))</f>
        <v/>
      </c>
      <c r="Q147" s="7" t="str">
        <f>IFERROR(INDEX(Diccionarios!$B$2:$B$201,MATCH($A147,Diccionarios!$D$2:$D$201,0))&amp;"","")</f>
        <v/>
      </c>
      <c r="R147" s="7" t="str">
        <f>IFERROR(INDEX(Diccionarios!$C$2:$C$201,MATCH($A147,Diccionarios!$D$2:$D$201,0))&amp;"","")</f>
        <v/>
      </c>
      <c r="S147" s="7" t="str">
        <f>IFERROR(INDEX(Modelos!$K$2:$K$301,MATCH($B147,Modelos!$C$2:$C$301,0))&amp;"","")</f>
        <v/>
      </c>
      <c r="T147" s="7" t="str">
        <f>IFERROR(INDEX(Modelos!$L$2:$L$301,MATCH($B147,Modelos!$C$2:$C$301,0))&amp;"","")</f>
        <v/>
      </c>
    </row>
    <row r="148" spans="1:20" x14ac:dyDescent="0.25">
      <c r="A148" s="5"/>
      <c r="B148" s="5"/>
      <c r="C148" s="5"/>
      <c r="D148" s="6"/>
      <c r="E148" s="5"/>
      <c r="F148" s="7" t="str">
        <f>IF(AND(A148&lt;&gt;"",B148&lt;&gt;"",C148&lt;&gt;"",D148&lt;&gt;""),LEFT(A148,2)&amp;LEFT(B148,4)&amp;LEFT(C148,2)&amp;SUBSTITUTE(UPPER(D148),"Ú","U"),"")</f>
        <v/>
      </c>
      <c r="G148" s="7" t="str">
        <f>IFERROR(INDEX(Modelos!$B$2:$B$301,MATCH($B148,Modelos!$C$2:$C$301,0))&amp;"","")</f>
        <v/>
      </c>
      <c r="H148" s="7" t="str">
        <f>IFERROR(INDEX(Modelos!$D$2:$D$301,MATCH($B148,Modelos!$C$2:$C$301,0))&amp;"","")</f>
        <v/>
      </c>
      <c r="I148" s="7" t="str">
        <f>IFERROR(INDEX(Modelos!$E$2:$E$301,MATCH($B148,Modelos!$C$2:$C$301,0))&amp;"","")</f>
        <v/>
      </c>
      <c r="J148" s="7" t="str">
        <f>IFERROR(INDEX(Modelos!$F$2:$F$301,MATCH($B148,Modelos!$C$2:$C$301,0))&amp;"","")</f>
        <v/>
      </c>
      <c r="K148" s="7" t="str">
        <f>IFERROR(INDEX(Modelos!$G$2:$G$301,MATCH($B148,Modelos!$C$2:$C$301,0))&amp;"","")</f>
        <v/>
      </c>
      <c r="L148" s="7" t="str">
        <f>IFERROR(INDEX(Diccionarios!$G$2:$G$201,MATCH($C148,Diccionarios!$H$2:$H$201,0))&amp;"","")</f>
        <v/>
      </c>
      <c r="M148" s="7" t="str">
        <f>IF(D148="","",D148&amp;"")</f>
        <v/>
      </c>
      <c r="N148" s="8" t="str">
        <f>IF($B148="","",IFERROR(INDEX(Modelos!$H$2:$H$301,MATCH($B148,Modelos!$C$2:$C$301,0)),""))</f>
        <v/>
      </c>
      <c r="O148" s="8" t="str">
        <f>IF($B148="","",IFERROR(INDEX(Modelos!$I$2:$I$301,MATCH($B148,Modelos!$C$2:$C$301,0)),""))</f>
        <v/>
      </c>
      <c r="P148" s="8" t="str">
        <f>IF($B148="","",IFERROR(INDEX(Modelos!$J$2:$J$301,MATCH($B148,Modelos!$C$2:$C$301,0)),""))</f>
        <v/>
      </c>
      <c r="Q148" s="7" t="str">
        <f>IFERROR(INDEX(Diccionarios!$B$2:$B$201,MATCH($A148,Diccionarios!$D$2:$D$201,0))&amp;"","")</f>
        <v/>
      </c>
      <c r="R148" s="7" t="str">
        <f>IFERROR(INDEX(Diccionarios!$C$2:$C$201,MATCH($A148,Diccionarios!$D$2:$D$201,0))&amp;"","")</f>
        <v/>
      </c>
      <c r="S148" s="7" t="str">
        <f>IFERROR(INDEX(Modelos!$K$2:$K$301,MATCH($B148,Modelos!$C$2:$C$301,0))&amp;"","")</f>
        <v/>
      </c>
      <c r="T148" s="7" t="str">
        <f>IFERROR(INDEX(Modelos!$L$2:$L$301,MATCH($B148,Modelos!$C$2:$C$301,0))&amp;"","")</f>
        <v/>
      </c>
    </row>
    <row r="149" spans="1:20" x14ac:dyDescent="0.25">
      <c r="A149" s="5"/>
      <c r="B149" s="5"/>
      <c r="C149" s="5"/>
      <c r="D149" s="6"/>
      <c r="E149" s="5"/>
      <c r="F149" s="7" t="str">
        <f>IF(AND(A149&lt;&gt;"",B149&lt;&gt;"",C149&lt;&gt;"",D149&lt;&gt;""),LEFT(A149,2)&amp;LEFT(B149,4)&amp;LEFT(C149,2)&amp;SUBSTITUTE(UPPER(D149),"Ú","U"),"")</f>
        <v/>
      </c>
      <c r="G149" s="7" t="str">
        <f>IFERROR(INDEX(Modelos!$B$2:$B$301,MATCH($B149,Modelos!$C$2:$C$301,0))&amp;"","")</f>
        <v/>
      </c>
      <c r="H149" s="7" t="str">
        <f>IFERROR(INDEX(Modelos!$D$2:$D$301,MATCH($B149,Modelos!$C$2:$C$301,0))&amp;"","")</f>
        <v/>
      </c>
      <c r="I149" s="7" t="str">
        <f>IFERROR(INDEX(Modelos!$E$2:$E$301,MATCH($B149,Modelos!$C$2:$C$301,0))&amp;"","")</f>
        <v/>
      </c>
      <c r="J149" s="7" t="str">
        <f>IFERROR(INDEX(Modelos!$F$2:$F$301,MATCH($B149,Modelos!$C$2:$C$301,0))&amp;"","")</f>
        <v/>
      </c>
      <c r="K149" s="7" t="str">
        <f>IFERROR(INDEX(Modelos!$G$2:$G$301,MATCH($B149,Modelos!$C$2:$C$301,0))&amp;"","")</f>
        <v/>
      </c>
      <c r="L149" s="7" t="str">
        <f>IFERROR(INDEX(Diccionarios!$G$2:$G$201,MATCH($C149,Diccionarios!$H$2:$H$201,0))&amp;"","")</f>
        <v/>
      </c>
      <c r="M149" s="7" t="str">
        <f>IF(D149="","",D149&amp;"")</f>
        <v/>
      </c>
      <c r="N149" s="8" t="str">
        <f>IF($B149="","",IFERROR(INDEX(Modelos!$H$2:$H$301,MATCH($B149,Modelos!$C$2:$C$301,0)),""))</f>
        <v/>
      </c>
      <c r="O149" s="8" t="str">
        <f>IF($B149="","",IFERROR(INDEX(Modelos!$I$2:$I$301,MATCH($B149,Modelos!$C$2:$C$301,0)),""))</f>
        <v/>
      </c>
      <c r="P149" s="8" t="str">
        <f>IF($B149="","",IFERROR(INDEX(Modelos!$J$2:$J$301,MATCH($B149,Modelos!$C$2:$C$301,0)),""))</f>
        <v/>
      </c>
      <c r="Q149" s="7" t="str">
        <f>IFERROR(INDEX(Diccionarios!$B$2:$B$201,MATCH($A149,Diccionarios!$D$2:$D$201,0))&amp;"","")</f>
        <v/>
      </c>
      <c r="R149" s="7" t="str">
        <f>IFERROR(INDEX(Diccionarios!$C$2:$C$201,MATCH($A149,Diccionarios!$D$2:$D$201,0))&amp;"","")</f>
        <v/>
      </c>
      <c r="S149" s="7" t="str">
        <f>IFERROR(INDEX(Modelos!$K$2:$K$301,MATCH($B149,Modelos!$C$2:$C$301,0))&amp;"","")</f>
        <v/>
      </c>
      <c r="T149" s="7" t="str">
        <f>IFERROR(INDEX(Modelos!$L$2:$L$301,MATCH($B149,Modelos!$C$2:$C$301,0))&amp;"","")</f>
        <v/>
      </c>
    </row>
    <row r="150" spans="1:20" x14ac:dyDescent="0.25">
      <c r="A150" s="5"/>
      <c r="B150" s="5"/>
      <c r="C150" s="5"/>
      <c r="D150" s="6"/>
      <c r="E150" s="5"/>
      <c r="F150" s="7" t="str">
        <f>IF(AND(A150&lt;&gt;"",B150&lt;&gt;"",C150&lt;&gt;"",D150&lt;&gt;""),LEFT(A150,2)&amp;LEFT(B150,4)&amp;LEFT(C150,2)&amp;SUBSTITUTE(UPPER(D150),"Ú","U"),"")</f>
        <v/>
      </c>
      <c r="G150" s="7" t="str">
        <f>IFERROR(INDEX(Modelos!$B$2:$B$301,MATCH($B150,Modelos!$C$2:$C$301,0))&amp;"","")</f>
        <v/>
      </c>
      <c r="H150" s="7" t="str">
        <f>IFERROR(INDEX(Modelos!$D$2:$D$301,MATCH($B150,Modelos!$C$2:$C$301,0))&amp;"","")</f>
        <v/>
      </c>
      <c r="I150" s="7" t="str">
        <f>IFERROR(INDEX(Modelos!$E$2:$E$301,MATCH($B150,Modelos!$C$2:$C$301,0))&amp;"","")</f>
        <v/>
      </c>
      <c r="J150" s="7" t="str">
        <f>IFERROR(INDEX(Modelos!$F$2:$F$301,MATCH($B150,Modelos!$C$2:$C$301,0))&amp;"","")</f>
        <v/>
      </c>
      <c r="K150" s="7" t="str">
        <f>IFERROR(INDEX(Modelos!$G$2:$G$301,MATCH($B150,Modelos!$C$2:$C$301,0))&amp;"","")</f>
        <v/>
      </c>
      <c r="L150" s="7" t="str">
        <f>IFERROR(INDEX(Diccionarios!$G$2:$G$201,MATCH($C150,Diccionarios!$H$2:$H$201,0))&amp;"","")</f>
        <v/>
      </c>
      <c r="M150" s="7" t="str">
        <f>IF(D150="","",D150&amp;"")</f>
        <v/>
      </c>
      <c r="N150" s="8" t="str">
        <f>IF($B150="","",IFERROR(INDEX(Modelos!$H$2:$H$301,MATCH($B150,Modelos!$C$2:$C$301,0)),""))</f>
        <v/>
      </c>
      <c r="O150" s="8" t="str">
        <f>IF($B150="","",IFERROR(INDEX(Modelos!$I$2:$I$301,MATCH($B150,Modelos!$C$2:$C$301,0)),""))</f>
        <v/>
      </c>
      <c r="P150" s="8" t="str">
        <f>IF($B150="","",IFERROR(INDEX(Modelos!$J$2:$J$301,MATCH($B150,Modelos!$C$2:$C$301,0)),""))</f>
        <v/>
      </c>
      <c r="Q150" s="7" t="str">
        <f>IFERROR(INDEX(Diccionarios!$B$2:$B$201,MATCH($A150,Diccionarios!$D$2:$D$201,0))&amp;"","")</f>
        <v/>
      </c>
      <c r="R150" s="7" t="str">
        <f>IFERROR(INDEX(Diccionarios!$C$2:$C$201,MATCH($A150,Diccionarios!$D$2:$D$201,0))&amp;"","")</f>
        <v/>
      </c>
      <c r="S150" s="7" t="str">
        <f>IFERROR(INDEX(Modelos!$K$2:$K$301,MATCH($B150,Modelos!$C$2:$C$301,0))&amp;"","")</f>
        <v/>
      </c>
      <c r="T150" s="7" t="str">
        <f>IFERROR(INDEX(Modelos!$L$2:$L$301,MATCH($B150,Modelos!$C$2:$C$301,0))&amp;"","")</f>
        <v/>
      </c>
    </row>
    <row r="151" spans="1:20" x14ac:dyDescent="0.25">
      <c r="A151" s="5"/>
      <c r="B151" s="5"/>
      <c r="C151" s="5"/>
      <c r="D151" s="6"/>
      <c r="E151" s="5"/>
      <c r="F151" s="7" t="str">
        <f>IF(AND(A151&lt;&gt;"",B151&lt;&gt;"",C151&lt;&gt;"",D151&lt;&gt;""),LEFT(A151,2)&amp;LEFT(B151,4)&amp;LEFT(C151,2)&amp;SUBSTITUTE(UPPER(D151),"Ú","U"),"")</f>
        <v/>
      </c>
      <c r="G151" s="7" t="str">
        <f>IFERROR(INDEX(Modelos!$B$2:$B$301,MATCH($B151,Modelos!$C$2:$C$301,0))&amp;"","")</f>
        <v/>
      </c>
      <c r="H151" s="7" t="str">
        <f>IFERROR(INDEX(Modelos!$D$2:$D$301,MATCH($B151,Modelos!$C$2:$C$301,0))&amp;"","")</f>
        <v/>
      </c>
      <c r="I151" s="7" t="str">
        <f>IFERROR(INDEX(Modelos!$E$2:$E$301,MATCH($B151,Modelos!$C$2:$C$301,0))&amp;"","")</f>
        <v/>
      </c>
      <c r="J151" s="7" t="str">
        <f>IFERROR(INDEX(Modelos!$F$2:$F$301,MATCH($B151,Modelos!$C$2:$C$301,0))&amp;"","")</f>
        <v/>
      </c>
      <c r="K151" s="7" t="str">
        <f>IFERROR(INDEX(Modelos!$G$2:$G$301,MATCH($B151,Modelos!$C$2:$C$301,0))&amp;"","")</f>
        <v/>
      </c>
      <c r="L151" s="7" t="str">
        <f>IFERROR(INDEX(Diccionarios!$G$2:$G$201,MATCH($C151,Diccionarios!$H$2:$H$201,0))&amp;"","")</f>
        <v/>
      </c>
      <c r="M151" s="7" t="str">
        <f>IF(D151="","",D151&amp;"")</f>
        <v/>
      </c>
      <c r="N151" s="8" t="str">
        <f>IF($B151="","",IFERROR(INDEX(Modelos!$H$2:$H$301,MATCH($B151,Modelos!$C$2:$C$301,0)),""))</f>
        <v/>
      </c>
      <c r="O151" s="8" t="str">
        <f>IF($B151="","",IFERROR(INDEX(Modelos!$I$2:$I$301,MATCH($B151,Modelos!$C$2:$C$301,0)),""))</f>
        <v/>
      </c>
      <c r="P151" s="8" t="str">
        <f>IF($B151="","",IFERROR(INDEX(Modelos!$J$2:$J$301,MATCH($B151,Modelos!$C$2:$C$301,0)),""))</f>
        <v/>
      </c>
      <c r="Q151" s="7" t="str">
        <f>IFERROR(INDEX(Diccionarios!$B$2:$B$201,MATCH($A151,Diccionarios!$D$2:$D$201,0))&amp;"","")</f>
        <v/>
      </c>
      <c r="R151" s="7" t="str">
        <f>IFERROR(INDEX(Diccionarios!$C$2:$C$201,MATCH($A151,Diccionarios!$D$2:$D$201,0))&amp;"","")</f>
        <v/>
      </c>
      <c r="S151" s="7" t="str">
        <f>IFERROR(INDEX(Modelos!$K$2:$K$301,MATCH($B151,Modelos!$C$2:$C$301,0))&amp;"","")</f>
        <v/>
      </c>
      <c r="T151" s="7" t="str">
        <f>IFERROR(INDEX(Modelos!$L$2:$L$301,MATCH($B151,Modelos!$C$2:$C$301,0))&amp;"","")</f>
        <v/>
      </c>
    </row>
    <row r="152" spans="1:20" x14ac:dyDescent="0.25">
      <c r="A152" s="5"/>
      <c r="B152" s="5"/>
      <c r="C152" s="5"/>
      <c r="D152" s="6"/>
      <c r="E152" s="5"/>
      <c r="F152" s="7" t="str">
        <f>IF(AND(A152&lt;&gt;"",B152&lt;&gt;"",C152&lt;&gt;"",D152&lt;&gt;""),LEFT(A152,2)&amp;LEFT(B152,4)&amp;LEFT(C152,2)&amp;SUBSTITUTE(UPPER(D152),"Ú","U"),"")</f>
        <v/>
      </c>
      <c r="G152" s="7" t="str">
        <f>IFERROR(INDEX(Modelos!$B$2:$B$301,MATCH($B152,Modelos!$C$2:$C$301,0))&amp;"","")</f>
        <v/>
      </c>
      <c r="H152" s="7" t="str">
        <f>IFERROR(INDEX(Modelos!$D$2:$D$301,MATCH($B152,Modelos!$C$2:$C$301,0))&amp;"","")</f>
        <v/>
      </c>
      <c r="I152" s="7" t="str">
        <f>IFERROR(INDEX(Modelos!$E$2:$E$301,MATCH($B152,Modelos!$C$2:$C$301,0))&amp;"","")</f>
        <v/>
      </c>
      <c r="J152" s="7" t="str">
        <f>IFERROR(INDEX(Modelos!$F$2:$F$301,MATCH($B152,Modelos!$C$2:$C$301,0))&amp;"","")</f>
        <v/>
      </c>
      <c r="K152" s="7" t="str">
        <f>IFERROR(INDEX(Modelos!$G$2:$G$301,MATCH($B152,Modelos!$C$2:$C$301,0))&amp;"","")</f>
        <v/>
      </c>
      <c r="L152" s="7" t="str">
        <f>IFERROR(INDEX(Diccionarios!$G$2:$G$201,MATCH($C152,Diccionarios!$H$2:$H$201,0))&amp;"","")</f>
        <v/>
      </c>
      <c r="M152" s="7" t="str">
        <f>IF(D152="","",D152&amp;"")</f>
        <v/>
      </c>
      <c r="N152" s="8" t="str">
        <f>IF($B152="","",IFERROR(INDEX(Modelos!$H$2:$H$301,MATCH($B152,Modelos!$C$2:$C$301,0)),""))</f>
        <v/>
      </c>
      <c r="O152" s="8" t="str">
        <f>IF($B152="","",IFERROR(INDEX(Modelos!$I$2:$I$301,MATCH($B152,Modelos!$C$2:$C$301,0)),""))</f>
        <v/>
      </c>
      <c r="P152" s="8" t="str">
        <f>IF($B152="","",IFERROR(INDEX(Modelos!$J$2:$J$301,MATCH($B152,Modelos!$C$2:$C$301,0)),""))</f>
        <v/>
      </c>
      <c r="Q152" s="7" t="str">
        <f>IFERROR(INDEX(Diccionarios!$B$2:$B$201,MATCH($A152,Diccionarios!$D$2:$D$201,0))&amp;"","")</f>
        <v/>
      </c>
      <c r="R152" s="7" t="str">
        <f>IFERROR(INDEX(Diccionarios!$C$2:$C$201,MATCH($A152,Diccionarios!$D$2:$D$201,0))&amp;"","")</f>
        <v/>
      </c>
      <c r="S152" s="7" t="str">
        <f>IFERROR(INDEX(Modelos!$K$2:$K$301,MATCH($B152,Modelos!$C$2:$C$301,0))&amp;"","")</f>
        <v/>
      </c>
      <c r="T152" s="7" t="str">
        <f>IFERROR(INDEX(Modelos!$L$2:$L$301,MATCH($B152,Modelos!$C$2:$C$301,0))&amp;"","")</f>
        <v/>
      </c>
    </row>
    <row r="153" spans="1:20" x14ac:dyDescent="0.25">
      <c r="A153" s="5"/>
      <c r="B153" s="5"/>
      <c r="C153" s="5"/>
      <c r="D153" s="6"/>
      <c r="E153" s="5"/>
      <c r="F153" s="7" t="str">
        <f>IF(AND(A153&lt;&gt;"",B153&lt;&gt;"",C153&lt;&gt;"",D153&lt;&gt;""),LEFT(A153,2)&amp;LEFT(B153,4)&amp;LEFT(C153,2)&amp;SUBSTITUTE(UPPER(D153),"Ú","U"),"")</f>
        <v/>
      </c>
      <c r="G153" s="7" t="str">
        <f>IFERROR(INDEX(Modelos!$B$2:$B$301,MATCH($B153,Modelos!$C$2:$C$301,0))&amp;"","")</f>
        <v/>
      </c>
      <c r="H153" s="7" t="str">
        <f>IFERROR(INDEX(Modelos!$D$2:$D$301,MATCH($B153,Modelos!$C$2:$C$301,0))&amp;"","")</f>
        <v/>
      </c>
      <c r="I153" s="7" t="str">
        <f>IFERROR(INDEX(Modelos!$E$2:$E$301,MATCH($B153,Modelos!$C$2:$C$301,0))&amp;"","")</f>
        <v/>
      </c>
      <c r="J153" s="7" t="str">
        <f>IFERROR(INDEX(Modelos!$F$2:$F$301,MATCH($B153,Modelos!$C$2:$C$301,0))&amp;"","")</f>
        <v/>
      </c>
      <c r="K153" s="7" t="str">
        <f>IFERROR(INDEX(Modelos!$G$2:$G$301,MATCH($B153,Modelos!$C$2:$C$301,0))&amp;"","")</f>
        <v/>
      </c>
      <c r="L153" s="7" t="str">
        <f>IFERROR(INDEX(Diccionarios!$G$2:$G$201,MATCH($C153,Diccionarios!$H$2:$H$201,0))&amp;"","")</f>
        <v/>
      </c>
      <c r="M153" s="7" t="str">
        <f>IF(D153="","",D153&amp;"")</f>
        <v/>
      </c>
      <c r="N153" s="8" t="str">
        <f>IF($B153="","",IFERROR(INDEX(Modelos!$H$2:$H$301,MATCH($B153,Modelos!$C$2:$C$301,0)),""))</f>
        <v/>
      </c>
      <c r="O153" s="8" t="str">
        <f>IF($B153="","",IFERROR(INDEX(Modelos!$I$2:$I$301,MATCH($B153,Modelos!$C$2:$C$301,0)),""))</f>
        <v/>
      </c>
      <c r="P153" s="8" t="str">
        <f>IF($B153="","",IFERROR(INDEX(Modelos!$J$2:$J$301,MATCH($B153,Modelos!$C$2:$C$301,0)),""))</f>
        <v/>
      </c>
      <c r="Q153" s="7" t="str">
        <f>IFERROR(INDEX(Diccionarios!$B$2:$B$201,MATCH($A153,Diccionarios!$D$2:$D$201,0))&amp;"","")</f>
        <v/>
      </c>
      <c r="R153" s="7" t="str">
        <f>IFERROR(INDEX(Diccionarios!$C$2:$C$201,MATCH($A153,Diccionarios!$D$2:$D$201,0))&amp;"","")</f>
        <v/>
      </c>
      <c r="S153" s="7" t="str">
        <f>IFERROR(INDEX(Modelos!$K$2:$K$301,MATCH($B153,Modelos!$C$2:$C$301,0))&amp;"","")</f>
        <v/>
      </c>
      <c r="T153" s="7" t="str">
        <f>IFERROR(INDEX(Modelos!$L$2:$L$301,MATCH($B153,Modelos!$C$2:$C$301,0))&amp;"","")</f>
        <v/>
      </c>
    </row>
    <row r="154" spans="1:20" x14ac:dyDescent="0.25">
      <c r="A154" s="5"/>
      <c r="B154" s="5"/>
      <c r="C154" s="5"/>
      <c r="D154" s="6"/>
      <c r="E154" s="5"/>
      <c r="F154" s="7" t="str">
        <f>IF(AND(A154&lt;&gt;"",B154&lt;&gt;"",C154&lt;&gt;"",D154&lt;&gt;""),LEFT(A154,2)&amp;LEFT(B154,4)&amp;LEFT(C154,2)&amp;SUBSTITUTE(UPPER(D154),"Ú","U"),"")</f>
        <v/>
      </c>
      <c r="G154" s="7" t="str">
        <f>IFERROR(INDEX(Modelos!$B$2:$B$301,MATCH($B154,Modelos!$C$2:$C$301,0))&amp;"","")</f>
        <v/>
      </c>
      <c r="H154" s="7" t="str">
        <f>IFERROR(INDEX(Modelos!$D$2:$D$301,MATCH($B154,Modelos!$C$2:$C$301,0))&amp;"","")</f>
        <v/>
      </c>
      <c r="I154" s="7" t="str">
        <f>IFERROR(INDEX(Modelos!$E$2:$E$301,MATCH($B154,Modelos!$C$2:$C$301,0))&amp;"","")</f>
        <v/>
      </c>
      <c r="J154" s="7" t="str">
        <f>IFERROR(INDEX(Modelos!$F$2:$F$301,MATCH($B154,Modelos!$C$2:$C$301,0))&amp;"","")</f>
        <v/>
      </c>
      <c r="K154" s="7" t="str">
        <f>IFERROR(INDEX(Modelos!$G$2:$G$301,MATCH($B154,Modelos!$C$2:$C$301,0))&amp;"","")</f>
        <v/>
      </c>
      <c r="L154" s="7" t="str">
        <f>IFERROR(INDEX(Diccionarios!$G$2:$G$201,MATCH($C154,Diccionarios!$H$2:$H$201,0))&amp;"","")</f>
        <v/>
      </c>
      <c r="M154" s="7" t="str">
        <f>IF(D154="","",D154&amp;"")</f>
        <v/>
      </c>
      <c r="N154" s="8" t="str">
        <f>IF($B154="","",IFERROR(INDEX(Modelos!$H$2:$H$301,MATCH($B154,Modelos!$C$2:$C$301,0)),""))</f>
        <v/>
      </c>
      <c r="O154" s="8" t="str">
        <f>IF($B154="","",IFERROR(INDEX(Modelos!$I$2:$I$301,MATCH($B154,Modelos!$C$2:$C$301,0)),""))</f>
        <v/>
      </c>
      <c r="P154" s="8" t="str">
        <f>IF($B154="","",IFERROR(INDEX(Modelos!$J$2:$J$301,MATCH($B154,Modelos!$C$2:$C$301,0)),""))</f>
        <v/>
      </c>
      <c r="Q154" s="7" t="str">
        <f>IFERROR(INDEX(Diccionarios!$B$2:$B$201,MATCH($A154,Diccionarios!$D$2:$D$201,0))&amp;"","")</f>
        <v/>
      </c>
      <c r="R154" s="7" t="str">
        <f>IFERROR(INDEX(Diccionarios!$C$2:$C$201,MATCH($A154,Diccionarios!$D$2:$D$201,0))&amp;"","")</f>
        <v/>
      </c>
      <c r="S154" s="7" t="str">
        <f>IFERROR(INDEX(Modelos!$K$2:$K$301,MATCH($B154,Modelos!$C$2:$C$301,0))&amp;"","")</f>
        <v/>
      </c>
      <c r="T154" s="7" t="str">
        <f>IFERROR(INDEX(Modelos!$L$2:$L$301,MATCH($B154,Modelos!$C$2:$C$301,0))&amp;"","")</f>
        <v/>
      </c>
    </row>
    <row r="155" spans="1:20" x14ac:dyDescent="0.25">
      <c r="A155" s="5"/>
      <c r="B155" s="5"/>
      <c r="C155" s="5"/>
      <c r="D155" s="6"/>
      <c r="E155" s="5"/>
      <c r="F155" s="7" t="str">
        <f>IF(AND(A155&lt;&gt;"",B155&lt;&gt;"",C155&lt;&gt;"",D155&lt;&gt;""),LEFT(A155,2)&amp;LEFT(B155,4)&amp;LEFT(C155,2)&amp;SUBSTITUTE(UPPER(D155),"Ú","U"),"")</f>
        <v/>
      </c>
      <c r="G155" s="7" t="str">
        <f>IFERROR(INDEX(Modelos!$B$2:$B$301,MATCH($B155,Modelos!$C$2:$C$301,0))&amp;"","")</f>
        <v/>
      </c>
      <c r="H155" s="7" t="str">
        <f>IFERROR(INDEX(Modelos!$D$2:$D$301,MATCH($B155,Modelos!$C$2:$C$301,0))&amp;"","")</f>
        <v/>
      </c>
      <c r="I155" s="7" t="str">
        <f>IFERROR(INDEX(Modelos!$E$2:$E$301,MATCH($B155,Modelos!$C$2:$C$301,0))&amp;"","")</f>
        <v/>
      </c>
      <c r="J155" s="7" t="str">
        <f>IFERROR(INDEX(Modelos!$F$2:$F$301,MATCH($B155,Modelos!$C$2:$C$301,0))&amp;"","")</f>
        <v/>
      </c>
      <c r="K155" s="7" t="str">
        <f>IFERROR(INDEX(Modelos!$G$2:$G$301,MATCH($B155,Modelos!$C$2:$C$301,0))&amp;"","")</f>
        <v/>
      </c>
      <c r="L155" s="7" t="str">
        <f>IFERROR(INDEX(Diccionarios!$G$2:$G$201,MATCH($C155,Diccionarios!$H$2:$H$201,0))&amp;"","")</f>
        <v/>
      </c>
      <c r="M155" s="7" t="str">
        <f>IF(D155="","",D155&amp;"")</f>
        <v/>
      </c>
      <c r="N155" s="8" t="str">
        <f>IF($B155="","",IFERROR(INDEX(Modelos!$H$2:$H$301,MATCH($B155,Modelos!$C$2:$C$301,0)),""))</f>
        <v/>
      </c>
      <c r="O155" s="8" t="str">
        <f>IF($B155="","",IFERROR(INDEX(Modelos!$I$2:$I$301,MATCH($B155,Modelos!$C$2:$C$301,0)),""))</f>
        <v/>
      </c>
      <c r="P155" s="8" t="str">
        <f>IF($B155="","",IFERROR(INDEX(Modelos!$J$2:$J$301,MATCH($B155,Modelos!$C$2:$C$301,0)),""))</f>
        <v/>
      </c>
      <c r="Q155" s="7" t="str">
        <f>IFERROR(INDEX(Diccionarios!$B$2:$B$201,MATCH($A155,Diccionarios!$D$2:$D$201,0))&amp;"","")</f>
        <v/>
      </c>
      <c r="R155" s="7" t="str">
        <f>IFERROR(INDEX(Diccionarios!$C$2:$C$201,MATCH($A155,Diccionarios!$D$2:$D$201,0))&amp;"","")</f>
        <v/>
      </c>
      <c r="S155" s="7" t="str">
        <f>IFERROR(INDEX(Modelos!$K$2:$K$301,MATCH($B155,Modelos!$C$2:$C$301,0))&amp;"","")</f>
        <v/>
      </c>
      <c r="T155" s="7" t="str">
        <f>IFERROR(INDEX(Modelos!$L$2:$L$301,MATCH($B155,Modelos!$C$2:$C$301,0))&amp;"","")</f>
        <v/>
      </c>
    </row>
    <row r="156" spans="1:20" x14ac:dyDescent="0.25">
      <c r="A156" s="5"/>
      <c r="B156" s="5"/>
      <c r="C156" s="5"/>
      <c r="D156" s="6"/>
      <c r="E156" s="5"/>
      <c r="F156" s="7" t="str">
        <f>IF(AND(A156&lt;&gt;"",B156&lt;&gt;"",C156&lt;&gt;"",D156&lt;&gt;""),LEFT(A156,2)&amp;LEFT(B156,4)&amp;LEFT(C156,2)&amp;SUBSTITUTE(UPPER(D156),"Ú","U"),"")</f>
        <v/>
      </c>
      <c r="G156" s="7" t="str">
        <f>IFERROR(INDEX(Modelos!$B$2:$B$301,MATCH($B156,Modelos!$C$2:$C$301,0))&amp;"","")</f>
        <v/>
      </c>
      <c r="H156" s="7" t="str">
        <f>IFERROR(INDEX(Modelos!$D$2:$D$301,MATCH($B156,Modelos!$C$2:$C$301,0))&amp;"","")</f>
        <v/>
      </c>
      <c r="I156" s="7" t="str">
        <f>IFERROR(INDEX(Modelos!$E$2:$E$301,MATCH($B156,Modelos!$C$2:$C$301,0))&amp;"","")</f>
        <v/>
      </c>
      <c r="J156" s="7" t="str">
        <f>IFERROR(INDEX(Modelos!$F$2:$F$301,MATCH($B156,Modelos!$C$2:$C$301,0))&amp;"","")</f>
        <v/>
      </c>
      <c r="K156" s="7" t="str">
        <f>IFERROR(INDEX(Modelos!$G$2:$G$301,MATCH($B156,Modelos!$C$2:$C$301,0))&amp;"","")</f>
        <v/>
      </c>
      <c r="L156" s="7" t="str">
        <f>IFERROR(INDEX(Diccionarios!$G$2:$G$201,MATCH($C156,Diccionarios!$H$2:$H$201,0))&amp;"","")</f>
        <v/>
      </c>
      <c r="M156" s="7" t="str">
        <f>IF(D156="","",D156&amp;"")</f>
        <v/>
      </c>
      <c r="N156" s="8" t="str">
        <f>IF($B156="","",IFERROR(INDEX(Modelos!$H$2:$H$301,MATCH($B156,Modelos!$C$2:$C$301,0)),""))</f>
        <v/>
      </c>
      <c r="O156" s="8" t="str">
        <f>IF($B156="","",IFERROR(INDEX(Modelos!$I$2:$I$301,MATCH($B156,Modelos!$C$2:$C$301,0)),""))</f>
        <v/>
      </c>
      <c r="P156" s="8" t="str">
        <f>IF($B156="","",IFERROR(INDEX(Modelos!$J$2:$J$301,MATCH($B156,Modelos!$C$2:$C$301,0)),""))</f>
        <v/>
      </c>
      <c r="Q156" s="7" t="str">
        <f>IFERROR(INDEX(Diccionarios!$B$2:$B$201,MATCH($A156,Diccionarios!$D$2:$D$201,0))&amp;"","")</f>
        <v/>
      </c>
      <c r="R156" s="7" t="str">
        <f>IFERROR(INDEX(Diccionarios!$C$2:$C$201,MATCH($A156,Diccionarios!$D$2:$D$201,0))&amp;"","")</f>
        <v/>
      </c>
      <c r="S156" s="7" t="str">
        <f>IFERROR(INDEX(Modelos!$K$2:$K$301,MATCH($B156,Modelos!$C$2:$C$301,0))&amp;"","")</f>
        <v/>
      </c>
      <c r="T156" s="7" t="str">
        <f>IFERROR(INDEX(Modelos!$L$2:$L$301,MATCH($B156,Modelos!$C$2:$C$301,0))&amp;"","")</f>
        <v/>
      </c>
    </row>
    <row r="157" spans="1:20" x14ac:dyDescent="0.25">
      <c r="A157" s="5"/>
      <c r="B157" s="5"/>
      <c r="C157" s="5"/>
      <c r="D157" s="6"/>
      <c r="E157" s="5"/>
      <c r="F157" s="7" t="str">
        <f>IF(AND(A157&lt;&gt;"",B157&lt;&gt;"",C157&lt;&gt;"",D157&lt;&gt;""),LEFT(A157,2)&amp;LEFT(B157,4)&amp;LEFT(C157,2)&amp;SUBSTITUTE(UPPER(D157),"Ú","U"),"")</f>
        <v/>
      </c>
      <c r="G157" s="7" t="str">
        <f>IFERROR(INDEX(Modelos!$B$2:$B$301,MATCH($B157,Modelos!$C$2:$C$301,0))&amp;"","")</f>
        <v/>
      </c>
      <c r="H157" s="7" t="str">
        <f>IFERROR(INDEX(Modelos!$D$2:$D$301,MATCH($B157,Modelos!$C$2:$C$301,0))&amp;"","")</f>
        <v/>
      </c>
      <c r="I157" s="7" t="str">
        <f>IFERROR(INDEX(Modelos!$E$2:$E$301,MATCH($B157,Modelos!$C$2:$C$301,0))&amp;"","")</f>
        <v/>
      </c>
      <c r="J157" s="7" t="str">
        <f>IFERROR(INDEX(Modelos!$F$2:$F$301,MATCH($B157,Modelos!$C$2:$C$301,0))&amp;"","")</f>
        <v/>
      </c>
      <c r="K157" s="7" t="str">
        <f>IFERROR(INDEX(Modelos!$G$2:$G$301,MATCH($B157,Modelos!$C$2:$C$301,0))&amp;"","")</f>
        <v/>
      </c>
      <c r="L157" s="7" t="str">
        <f>IFERROR(INDEX(Diccionarios!$G$2:$G$201,MATCH($C157,Diccionarios!$H$2:$H$201,0))&amp;"","")</f>
        <v/>
      </c>
      <c r="M157" s="7" t="str">
        <f>IF(D157="","",D157&amp;"")</f>
        <v/>
      </c>
      <c r="N157" s="8" t="str">
        <f>IF($B157="","",IFERROR(INDEX(Modelos!$H$2:$H$301,MATCH($B157,Modelos!$C$2:$C$301,0)),""))</f>
        <v/>
      </c>
      <c r="O157" s="8" t="str">
        <f>IF($B157="","",IFERROR(INDEX(Modelos!$I$2:$I$301,MATCH($B157,Modelos!$C$2:$C$301,0)),""))</f>
        <v/>
      </c>
      <c r="P157" s="8" t="str">
        <f>IF($B157="","",IFERROR(INDEX(Modelos!$J$2:$J$301,MATCH($B157,Modelos!$C$2:$C$301,0)),""))</f>
        <v/>
      </c>
      <c r="Q157" s="7" t="str">
        <f>IFERROR(INDEX(Diccionarios!$B$2:$B$201,MATCH($A157,Diccionarios!$D$2:$D$201,0))&amp;"","")</f>
        <v/>
      </c>
      <c r="R157" s="7" t="str">
        <f>IFERROR(INDEX(Diccionarios!$C$2:$C$201,MATCH($A157,Diccionarios!$D$2:$D$201,0))&amp;"","")</f>
        <v/>
      </c>
      <c r="S157" s="7" t="str">
        <f>IFERROR(INDEX(Modelos!$K$2:$K$301,MATCH($B157,Modelos!$C$2:$C$301,0))&amp;"","")</f>
        <v/>
      </c>
      <c r="T157" s="7" t="str">
        <f>IFERROR(INDEX(Modelos!$L$2:$L$301,MATCH($B157,Modelos!$C$2:$C$301,0))&amp;"","")</f>
        <v/>
      </c>
    </row>
    <row r="158" spans="1:20" x14ac:dyDescent="0.25">
      <c r="A158" s="5"/>
      <c r="B158" s="5"/>
      <c r="C158" s="5"/>
      <c r="D158" s="6"/>
      <c r="E158" s="5"/>
      <c r="F158" s="7" t="str">
        <f>IF(AND(A158&lt;&gt;"",B158&lt;&gt;"",C158&lt;&gt;"",D158&lt;&gt;""),LEFT(A158,2)&amp;LEFT(B158,4)&amp;LEFT(C158,2)&amp;SUBSTITUTE(UPPER(D158),"Ú","U"),"")</f>
        <v/>
      </c>
      <c r="G158" s="7" t="str">
        <f>IFERROR(INDEX(Modelos!$B$2:$B$301,MATCH($B158,Modelos!$C$2:$C$301,0))&amp;"","")</f>
        <v/>
      </c>
      <c r="H158" s="7" t="str">
        <f>IFERROR(INDEX(Modelos!$D$2:$D$301,MATCH($B158,Modelos!$C$2:$C$301,0))&amp;"","")</f>
        <v/>
      </c>
      <c r="I158" s="7" t="str">
        <f>IFERROR(INDEX(Modelos!$E$2:$E$301,MATCH($B158,Modelos!$C$2:$C$301,0))&amp;"","")</f>
        <v/>
      </c>
      <c r="J158" s="7" t="str">
        <f>IFERROR(INDEX(Modelos!$F$2:$F$301,MATCH($B158,Modelos!$C$2:$C$301,0))&amp;"","")</f>
        <v/>
      </c>
      <c r="K158" s="7" t="str">
        <f>IFERROR(INDEX(Modelos!$G$2:$G$301,MATCH($B158,Modelos!$C$2:$C$301,0))&amp;"","")</f>
        <v/>
      </c>
      <c r="L158" s="7" t="str">
        <f>IFERROR(INDEX(Diccionarios!$G$2:$G$201,MATCH($C158,Diccionarios!$H$2:$H$201,0))&amp;"","")</f>
        <v/>
      </c>
      <c r="M158" s="7" t="str">
        <f>IF(D158="","",D158&amp;"")</f>
        <v/>
      </c>
      <c r="N158" s="8" t="str">
        <f>IF($B158="","",IFERROR(INDEX(Modelos!$H$2:$H$301,MATCH($B158,Modelos!$C$2:$C$301,0)),""))</f>
        <v/>
      </c>
      <c r="O158" s="8" t="str">
        <f>IF($B158="","",IFERROR(INDEX(Modelos!$I$2:$I$301,MATCH($B158,Modelos!$C$2:$C$301,0)),""))</f>
        <v/>
      </c>
      <c r="P158" s="8" t="str">
        <f>IF($B158="","",IFERROR(INDEX(Modelos!$J$2:$J$301,MATCH($B158,Modelos!$C$2:$C$301,0)),""))</f>
        <v/>
      </c>
      <c r="Q158" s="7" t="str">
        <f>IFERROR(INDEX(Diccionarios!$B$2:$B$201,MATCH($A158,Diccionarios!$D$2:$D$201,0))&amp;"","")</f>
        <v/>
      </c>
      <c r="R158" s="7" t="str">
        <f>IFERROR(INDEX(Diccionarios!$C$2:$C$201,MATCH($A158,Diccionarios!$D$2:$D$201,0))&amp;"","")</f>
        <v/>
      </c>
      <c r="S158" s="7" t="str">
        <f>IFERROR(INDEX(Modelos!$K$2:$K$301,MATCH($B158,Modelos!$C$2:$C$301,0))&amp;"","")</f>
        <v/>
      </c>
      <c r="T158" s="7" t="str">
        <f>IFERROR(INDEX(Modelos!$L$2:$L$301,MATCH($B158,Modelos!$C$2:$C$301,0))&amp;"","")</f>
        <v/>
      </c>
    </row>
    <row r="159" spans="1:20" x14ac:dyDescent="0.25">
      <c r="A159" s="5"/>
      <c r="B159" s="5"/>
      <c r="C159" s="5"/>
      <c r="D159" s="6"/>
      <c r="E159" s="5"/>
      <c r="F159" s="7" t="str">
        <f>IF(AND(A159&lt;&gt;"",B159&lt;&gt;"",C159&lt;&gt;"",D159&lt;&gt;""),LEFT(A159,2)&amp;LEFT(B159,4)&amp;LEFT(C159,2)&amp;SUBSTITUTE(UPPER(D159),"Ú","U"),"")</f>
        <v/>
      </c>
      <c r="G159" s="7" t="str">
        <f>IFERROR(INDEX(Modelos!$B$2:$B$301,MATCH($B159,Modelos!$C$2:$C$301,0))&amp;"","")</f>
        <v/>
      </c>
      <c r="H159" s="7" t="str">
        <f>IFERROR(INDEX(Modelos!$D$2:$D$301,MATCH($B159,Modelos!$C$2:$C$301,0))&amp;"","")</f>
        <v/>
      </c>
      <c r="I159" s="7" t="str">
        <f>IFERROR(INDEX(Modelos!$E$2:$E$301,MATCH($B159,Modelos!$C$2:$C$301,0))&amp;"","")</f>
        <v/>
      </c>
      <c r="J159" s="7" t="str">
        <f>IFERROR(INDEX(Modelos!$F$2:$F$301,MATCH($B159,Modelos!$C$2:$C$301,0))&amp;"","")</f>
        <v/>
      </c>
      <c r="K159" s="7" t="str">
        <f>IFERROR(INDEX(Modelos!$G$2:$G$301,MATCH($B159,Modelos!$C$2:$C$301,0))&amp;"","")</f>
        <v/>
      </c>
      <c r="L159" s="7" t="str">
        <f>IFERROR(INDEX(Diccionarios!$G$2:$G$201,MATCH($C159,Diccionarios!$H$2:$H$201,0))&amp;"","")</f>
        <v/>
      </c>
      <c r="M159" s="7" t="str">
        <f>IF(D159="","",D159&amp;"")</f>
        <v/>
      </c>
      <c r="N159" s="8" t="str">
        <f>IF($B159="","",IFERROR(INDEX(Modelos!$H$2:$H$301,MATCH($B159,Modelos!$C$2:$C$301,0)),""))</f>
        <v/>
      </c>
      <c r="O159" s="8" t="str">
        <f>IF($B159="","",IFERROR(INDEX(Modelos!$I$2:$I$301,MATCH($B159,Modelos!$C$2:$C$301,0)),""))</f>
        <v/>
      </c>
      <c r="P159" s="8" t="str">
        <f>IF($B159="","",IFERROR(INDEX(Modelos!$J$2:$J$301,MATCH($B159,Modelos!$C$2:$C$301,0)),""))</f>
        <v/>
      </c>
      <c r="Q159" s="7" t="str">
        <f>IFERROR(INDEX(Diccionarios!$B$2:$B$201,MATCH($A159,Diccionarios!$D$2:$D$201,0))&amp;"","")</f>
        <v/>
      </c>
      <c r="R159" s="7" t="str">
        <f>IFERROR(INDEX(Diccionarios!$C$2:$C$201,MATCH($A159,Diccionarios!$D$2:$D$201,0))&amp;"","")</f>
        <v/>
      </c>
      <c r="S159" s="7" t="str">
        <f>IFERROR(INDEX(Modelos!$K$2:$K$301,MATCH($B159,Modelos!$C$2:$C$301,0))&amp;"","")</f>
        <v/>
      </c>
      <c r="T159" s="7" t="str">
        <f>IFERROR(INDEX(Modelos!$L$2:$L$301,MATCH($B159,Modelos!$C$2:$C$301,0))&amp;"","")</f>
        <v/>
      </c>
    </row>
    <row r="160" spans="1:20" x14ac:dyDescent="0.25">
      <c r="A160" s="5"/>
      <c r="B160" s="5"/>
      <c r="C160" s="5"/>
      <c r="D160" s="6"/>
      <c r="E160" s="5"/>
      <c r="F160" s="7" t="str">
        <f>IF(AND(A160&lt;&gt;"",B160&lt;&gt;"",C160&lt;&gt;"",D160&lt;&gt;""),LEFT(A160,2)&amp;LEFT(B160,4)&amp;LEFT(C160,2)&amp;SUBSTITUTE(UPPER(D160),"Ú","U"),"")</f>
        <v/>
      </c>
      <c r="G160" s="7" t="str">
        <f>IFERROR(INDEX(Modelos!$B$2:$B$301,MATCH($B160,Modelos!$C$2:$C$301,0))&amp;"","")</f>
        <v/>
      </c>
      <c r="H160" s="7" t="str">
        <f>IFERROR(INDEX(Modelos!$D$2:$D$301,MATCH($B160,Modelos!$C$2:$C$301,0))&amp;"","")</f>
        <v/>
      </c>
      <c r="I160" s="7" t="str">
        <f>IFERROR(INDEX(Modelos!$E$2:$E$301,MATCH($B160,Modelos!$C$2:$C$301,0))&amp;"","")</f>
        <v/>
      </c>
      <c r="J160" s="7" t="str">
        <f>IFERROR(INDEX(Modelos!$F$2:$F$301,MATCH($B160,Modelos!$C$2:$C$301,0))&amp;"","")</f>
        <v/>
      </c>
      <c r="K160" s="7" t="str">
        <f>IFERROR(INDEX(Modelos!$G$2:$G$301,MATCH($B160,Modelos!$C$2:$C$301,0))&amp;"","")</f>
        <v/>
      </c>
      <c r="L160" s="7" t="str">
        <f>IFERROR(INDEX(Diccionarios!$G$2:$G$201,MATCH($C160,Diccionarios!$H$2:$H$201,0))&amp;"","")</f>
        <v/>
      </c>
      <c r="M160" s="7" t="str">
        <f>IF(D160="","",D160&amp;"")</f>
        <v/>
      </c>
      <c r="N160" s="8" t="str">
        <f>IF($B160="","",IFERROR(INDEX(Modelos!$H$2:$H$301,MATCH($B160,Modelos!$C$2:$C$301,0)),""))</f>
        <v/>
      </c>
      <c r="O160" s="8" t="str">
        <f>IF($B160="","",IFERROR(INDEX(Modelos!$I$2:$I$301,MATCH($B160,Modelos!$C$2:$C$301,0)),""))</f>
        <v/>
      </c>
      <c r="P160" s="8" t="str">
        <f>IF($B160="","",IFERROR(INDEX(Modelos!$J$2:$J$301,MATCH($B160,Modelos!$C$2:$C$301,0)),""))</f>
        <v/>
      </c>
      <c r="Q160" s="7" t="str">
        <f>IFERROR(INDEX(Diccionarios!$B$2:$B$201,MATCH($A160,Diccionarios!$D$2:$D$201,0))&amp;"","")</f>
        <v/>
      </c>
      <c r="R160" s="7" t="str">
        <f>IFERROR(INDEX(Diccionarios!$C$2:$C$201,MATCH($A160,Diccionarios!$D$2:$D$201,0))&amp;"","")</f>
        <v/>
      </c>
      <c r="S160" s="7" t="str">
        <f>IFERROR(INDEX(Modelos!$K$2:$K$301,MATCH($B160,Modelos!$C$2:$C$301,0))&amp;"","")</f>
        <v/>
      </c>
      <c r="T160" s="7" t="str">
        <f>IFERROR(INDEX(Modelos!$L$2:$L$301,MATCH($B160,Modelos!$C$2:$C$301,0))&amp;"","")</f>
        <v/>
      </c>
    </row>
    <row r="161" spans="1:20" x14ac:dyDescent="0.25">
      <c r="A161" s="5"/>
      <c r="B161" s="5"/>
      <c r="C161" s="5"/>
      <c r="D161" s="6"/>
      <c r="E161" s="5"/>
      <c r="F161" s="7" t="str">
        <f>IF(AND(A161&lt;&gt;"",B161&lt;&gt;"",C161&lt;&gt;"",D161&lt;&gt;""),LEFT(A161,2)&amp;LEFT(B161,4)&amp;LEFT(C161,2)&amp;SUBSTITUTE(UPPER(D161),"Ú","U"),"")</f>
        <v/>
      </c>
      <c r="G161" s="7" t="str">
        <f>IFERROR(INDEX(Modelos!$B$2:$B$301,MATCH($B161,Modelos!$C$2:$C$301,0))&amp;"","")</f>
        <v/>
      </c>
      <c r="H161" s="7" t="str">
        <f>IFERROR(INDEX(Modelos!$D$2:$D$301,MATCH($B161,Modelos!$C$2:$C$301,0))&amp;"","")</f>
        <v/>
      </c>
      <c r="I161" s="7" t="str">
        <f>IFERROR(INDEX(Modelos!$E$2:$E$301,MATCH($B161,Modelos!$C$2:$C$301,0))&amp;"","")</f>
        <v/>
      </c>
      <c r="J161" s="7" t="str">
        <f>IFERROR(INDEX(Modelos!$F$2:$F$301,MATCH($B161,Modelos!$C$2:$C$301,0))&amp;"","")</f>
        <v/>
      </c>
      <c r="K161" s="7" t="str">
        <f>IFERROR(INDEX(Modelos!$G$2:$G$301,MATCH($B161,Modelos!$C$2:$C$301,0))&amp;"","")</f>
        <v/>
      </c>
      <c r="L161" s="7" t="str">
        <f>IFERROR(INDEX(Diccionarios!$G$2:$G$201,MATCH($C161,Diccionarios!$H$2:$H$201,0))&amp;"","")</f>
        <v/>
      </c>
      <c r="M161" s="7" t="str">
        <f>IF(D161="","",D161&amp;"")</f>
        <v/>
      </c>
      <c r="N161" s="8" t="str">
        <f>IF($B161="","",IFERROR(INDEX(Modelos!$H$2:$H$301,MATCH($B161,Modelos!$C$2:$C$301,0)),""))</f>
        <v/>
      </c>
      <c r="O161" s="8" t="str">
        <f>IF($B161="","",IFERROR(INDEX(Modelos!$I$2:$I$301,MATCH($B161,Modelos!$C$2:$C$301,0)),""))</f>
        <v/>
      </c>
      <c r="P161" s="8" t="str">
        <f>IF($B161="","",IFERROR(INDEX(Modelos!$J$2:$J$301,MATCH($B161,Modelos!$C$2:$C$301,0)),""))</f>
        <v/>
      </c>
      <c r="Q161" s="7" t="str">
        <f>IFERROR(INDEX(Diccionarios!$B$2:$B$201,MATCH($A161,Diccionarios!$D$2:$D$201,0))&amp;"","")</f>
        <v/>
      </c>
      <c r="R161" s="7" t="str">
        <f>IFERROR(INDEX(Diccionarios!$C$2:$C$201,MATCH($A161,Diccionarios!$D$2:$D$201,0))&amp;"","")</f>
        <v/>
      </c>
      <c r="S161" s="7" t="str">
        <f>IFERROR(INDEX(Modelos!$K$2:$K$301,MATCH($B161,Modelos!$C$2:$C$301,0))&amp;"","")</f>
        <v/>
      </c>
      <c r="T161" s="7" t="str">
        <f>IFERROR(INDEX(Modelos!$L$2:$L$301,MATCH($B161,Modelos!$C$2:$C$301,0))&amp;"","")</f>
        <v/>
      </c>
    </row>
    <row r="162" spans="1:20" x14ac:dyDescent="0.25">
      <c r="A162" s="5"/>
      <c r="B162" s="5"/>
      <c r="C162" s="5"/>
      <c r="D162" s="6"/>
      <c r="E162" s="5"/>
      <c r="F162" s="7" t="str">
        <f>IF(AND(A162&lt;&gt;"",B162&lt;&gt;"",C162&lt;&gt;"",D162&lt;&gt;""),LEFT(A162,2)&amp;LEFT(B162,4)&amp;LEFT(C162,2)&amp;SUBSTITUTE(UPPER(D162),"Ú","U"),"")</f>
        <v/>
      </c>
      <c r="G162" s="7" t="str">
        <f>IFERROR(INDEX(Modelos!$B$2:$B$301,MATCH($B162,Modelos!$C$2:$C$301,0))&amp;"","")</f>
        <v/>
      </c>
      <c r="H162" s="7" t="str">
        <f>IFERROR(INDEX(Modelos!$D$2:$D$301,MATCH($B162,Modelos!$C$2:$C$301,0))&amp;"","")</f>
        <v/>
      </c>
      <c r="I162" s="7" t="str">
        <f>IFERROR(INDEX(Modelos!$E$2:$E$301,MATCH($B162,Modelos!$C$2:$C$301,0))&amp;"","")</f>
        <v/>
      </c>
      <c r="J162" s="7" t="str">
        <f>IFERROR(INDEX(Modelos!$F$2:$F$301,MATCH($B162,Modelos!$C$2:$C$301,0))&amp;"","")</f>
        <v/>
      </c>
      <c r="K162" s="7" t="str">
        <f>IFERROR(INDEX(Modelos!$G$2:$G$301,MATCH($B162,Modelos!$C$2:$C$301,0))&amp;"","")</f>
        <v/>
      </c>
      <c r="L162" s="7" t="str">
        <f>IFERROR(INDEX(Diccionarios!$G$2:$G$201,MATCH($C162,Diccionarios!$H$2:$H$201,0))&amp;"","")</f>
        <v/>
      </c>
      <c r="M162" s="7" t="str">
        <f>IF(D162="","",D162&amp;"")</f>
        <v/>
      </c>
      <c r="N162" s="8" t="str">
        <f>IF($B162="","",IFERROR(INDEX(Modelos!$H$2:$H$301,MATCH($B162,Modelos!$C$2:$C$301,0)),""))</f>
        <v/>
      </c>
      <c r="O162" s="8" t="str">
        <f>IF($B162="","",IFERROR(INDEX(Modelos!$I$2:$I$301,MATCH($B162,Modelos!$C$2:$C$301,0)),""))</f>
        <v/>
      </c>
      <c r="P162" s="8" t="str">
        <f>IF($B162="","",IFERROR(INDEX(Modelos!$J$2:$J$301,MATCH($B162,Modelos!$C$2:$C$301,0)),""))</f>
        <v/>
      </c>
      <c r="Q162" s="7" t="str">
        <f>IFERROR(INDEX(Diccionarios!$B$2:$B$201,MATCH($A162,Diccionarios!$D$2:$D$201,0))&amp;"","")</f>
        <v/>
      </c>
      <c r="R162" s="7" t="str">
        <f>IFERROR(INDEX(Diccionarios!$C$2:$C$201,MATCH($A162,Diccionarios!$D$2:$D$201,0))&amp;"","")</f>
        <v/>
      </c>
      <c r="S162" s="7" t="str">
        <f>IFERROR(INDEX(Modelos!$K$2:$K$301,MATCH($B162,Modelos!$C$2:$C$301,0))&amp;"","")</f>
        <v/>
      </c>
      <c r="T162" s="7" t="str">
        <f>IFERROR(INDEX(Modelos!$L$2:$L$301,MATCH($B162,Modelos!$C$2:$C$301,0))&amp;"","")</f>
        <v/>
      </c>
    </row>
    <row r="163" spans="1:20" x14ac:dyDescent="0.25">
      <c r="A163" s="5"/>
      <c r="B163" s="5"/>
      <c r="C163" s="5"/>
      <c r="D163" s="6"/>
      <c r="E163" s="5"/>
      <c r="F163" s="7" t="str">
        <f>IF(AND(A163&lt;&gt;"",B163&lt;&gt;"",C163&lt;&gt;"",D163&lt;&gt;""),LEFT(A163,2)&amp;LEFT(B163,4)&amp;LEFT(C163,2)&amp;SUBSTITUTE(UPPER(D163),"Ú","U"),"")</f>
        <v/>
      </c>
      <c r="G163" s="7" t="str">
        <f>IFERROR(INDEX(Modelos!$B$2:$B$301,MATCH($B163,Modelos!$C$2:$C$301,0))&amp;"","")</f>
        <v/>
      </c>
      <c r="H163" s="7" t="str">
        <f>IFERROR(INDEX(Modelos!$D$2:$D$301,MATCH($B163,Modelos!$C$2:$C$301,0))&amp;"","")</f>
        <v/>
      </c>
      <c r="I163" s="7" t="str">
        <f>IFERROR(INDEX(Modelos!$E$2:$E$301,MATCH($B163,Modelos!$C$2:$C$301,0))&amp;"","")</f>
        <v/>
      </c>
      <c r="J163" s="7" t="str">
        <f>IFERROR(INDEX(Modelos!$F$2:$F$301,MATCH($B163,Modelos!$C$2:$C$301,0))&amp;"","")</f>
        <v/>
      </c>
      <c r="K163" s="7" t="str">
        <f>IFERROR(INDEX(Modelos!$G$2:$G$301,MATCH($B163,Modelos!$C$2:$C$301,0))&amp;"","")</f>
        <v/>
      </c>
      <c r="L163" s="7" t="str">
        <f>IFERROR(INDEX(Diccionarios!$G$2:$G$201,MATCH($C163,Diccionarios!$H$2:$H$201,0))&amp;"","")</f>
        <v/>
      </c>
      <c r="M163" s="7" t="str">
        <f>IF(D163="","",D163&amp;"")</f>
        <v/>
      </c>
      <c r="N163" s="8" t="str">
        <f>IF($B163="","",IFERROR(INDEX(Modelos!$H$2:$H$301,MATCH($B163,Modelos!$C$2:$C$301,0)),""))</f>
        <v/>
      </c>
      <c r="O163" s="8" t="str">
        <f>IF($B163="","",IFERROR(INDEX(Modelos!$I$2:$I$301,MATCH($B163,Modelos!$C$2:$C$301,0)),""))</f>
        <v/>
      </c>
      <c r="P163" s="8" t="str">
        <f>IF($B163="","",IFERROR(INDEX(Modelos!$J$2:$J$301,MATCH($B163,Modelos!$C$2:$C$301,0)),""))</f>
        <v/>
      </c>
      <c r="Q163" s="7" t="str">
        <f>IFERROR(INDEX(Diccionarios!$B$2:$B$201,MATCH($A163,Diccionarios!$D$2:$D$201,0))&amp;"","")</f>
        <v/>
      </c>
      <c r="R163" s="7" t="str">
        <f>IFERROR(INDEX(Diccionarios!$C$2:$C$201,MATCH($A163,Diccionarios!$D$2:$D$201,0))&amp;"","")</f>
        <v/>
      </c>
      <c r="S163" s="7" t="str">
        <f>IFERROR(INDEX(Modelos!$K$2:$K$301,MATCH($B163,Modelos!$C$2:$C$301,0))&amp;"","")</f>
        <v/>
      </c>
      <c r="T163" s="7" t="str">
        <f>IFERROR(INDEX(Modelos!$L$2:$L$301,MATCH($B163,Modelos!$C$2:$C$301,0))&amp;"","")</f>
        <v/>
      </c>
    </row>
    <row r="164" spans="1:20" x14ac:dyDescent="0.25">
      <c r="A164" s="5"/>
      <c r="B164" s="5"/>
      <c r="C164" s="5"/>
      <c r="D164" s="6"/>
      <c r="E164" s="5"/>
      <c r="F164" s="7" t="str">
        <f>IF(AND(A164&lt;&gt;"",B164&lt;&gt;"",C164&lt;&gt;"",D164&lt;&gt;""),LEFT(A164,2)&amp;LEFT(B164,4)&amp;LEFT(C164,2)&amp;SUBSTITUTE(UPPER(D164),"Ú","U"),"")</f>
        <v/>
      </c>
      <c r="G164" s="7" t="str">
        <f>IFERROR(INDEX(Modelos!$B$2:$B$301,MATCH($B164,Modelos!$C$2:$C$301,0))&amp;"","")</f>
        <v/>
      </c>
      <c r="H164" s="7" t="str">
        <f>IFERROR(INDEX(Modelos!$D$2:$D$301,MATCH($B164,Modelos!$C$2:$C$301,0))&amp;"","")</f>
        <v/>
      </c>
      <c r="I164" s="7" t="str">
        <f>IFERROR(INDEX(Modelos!$E$2:$E$301,MATCH($B164,Modelos!$C$2:$C$301,0))&amp;"","")</f>
        <v/>
      </c>
      <c r="J164" s="7" t="str">
        <f>IFERROR(INDEX(Modelos!$F$2:$F$301,MATCH($B164,Modelos!$C$2:$C$301,0))&amp;"","")</f>
        <v/>
      </c>
      <c r="K164" s="7" t="str">
        <f>IFERROR(INDEX(Modelos!$G$2:$G$301,MATCH($B164,Modelos!$C$2:$C$301,0))&amp;"","")</f>
        <v/>
      </c>
      <c r="L164" s="7" t="str">
        <f>IFERROR(INDEX(Diccionarios!$G$2:$G$201,MATCH($C164,Diccionarios!$H$2:$H$201,0))&amp;"","")</f>
        <v/>
      </c>
      <c r="M164" s="7" t="str">
        <f>IF(D164="","",D164&amp;"")</f>
        <v/>
      </c>
      <c r="N164" s="8" t="str">
        <f>IF($B164="","",IFERROR(INDEX(Modelos!$H$2:$H$301,MATCH($B164,Modelos!$C$2:$C$301,0)),""))</f>
        <v/>
      </c>
      <c r="O164" s="8" t="str">
        <f>IF($B164="","",IFERROR(INDEX(Modelos!$I$2:$I$301,MATCH($B164,Modelos!$C$2:$C$301,0)),""))</f>
        <v/>
      </c>
      <c r="P164" s="8" t="str">
        <f>IF($B164="","",IFERROR(INDEX(Modelos!$J$2:$J$301,MATCH($B164,Modelos!$C$2:$C$301,0)),""))</f>
        <v/>
      </c>
      <c r="Q164" s="7" t="str">
        <f>IFERROR(INDEX(Diccionarios!$B$2:$B$201,MATCH($A164,Diccionarios!$D$2:$D$201,0))&amp;"","")</f>
        <v/>
      </c>
      <c r="R164" s="7" t="str">
        <f>IFERROR(INDEX(Diccionarios!$C$2:$C$201,MATCH($A164,Diccionarios!$D$2:$D$201,0))&amp;"","")</f>
        <v/>
      </c>
      <c r="S164" s="7" t="str">
        <f>IFERROR(INDEX(Modelos!$K$2:$K$301,MATCH($B164,Modelos!$C$2:$C$301,0))&amp;"","")</f>
        <v/>
      </c>
      <c r="T164" s="7" t="str">
        <f>IFERROR(INDEX(Modelos!$L$2:$L$301,MATCH($B164,Modelos!$C$2:$C$301,0))&amp;"","")</f>
        <v/>
      </c>
    </row>
    <row r="165" spans="1:20" x14ac:dyDescent="0.25">
      <c r="A165" s="5"/>
      <c r="B165" s="5"/>
      <c r="C165" s="5"/>
      <c r="D165" s="6"/>
      <c r="E165" s="5"/>
      <c r="F165" s="7" t="str">
        <f>IF(AND(A165&lt;&gt;"",B165&lt;&gt;"",C165&lt;&gt;"",D165&lt;&gt;""),LEFT(A165,2)&amp;LEFT(B165,4)&amp;LEFT(C165,2)&amp;SUBSTITUTE(UPPER(D165),"Ú","U"),"")</f>
        <v/>
      </c>
      <c r="G165" s="7" t="str">
        <f>IFERROR(INDEX(Modelos!$B$2:$B$301,MATCH($B165,Modelos!$C$2:$C$301,0))&amp;"","")</f>
        <v/>
      </c>
      <c r="H165" s="7" t="str">
        <f>IFERROR(INDEX(Modelos!$D$2:$D$301,MATCH($B165,Modelos!$C$2:$C$301,0))&amp;"","")</f>
        <v/>
      </c>
      <c r="I165" s="7" t="str">
        <f>IFERROR(INDEX(Modelos!$E$2:$E$301,MATCH($B165,Modelos!$C$2:$C$301,0))&amp;"","")</f>
        <v/>
      </c>
      <c r="J165" s="7" t="str">
        <f>IFERROR(INDEX(Modelos!$F$2:$F$301,MATCH($B165,Modelos!$C$2:$C$301,0))&amp;"","")</f>
        <v/>
      </c>
      <c r="K165" s="7" t="str">
        <f>IFERROR(INDEX(Modelos!$G$2:$G$301,MATCH($B165,Modelos!$C$2:$C$301,0))&amp;"","")</f>
        <v/>
      </c>
      <c r="L165" s="7" t="str">
        <f>IFERROR(INDEX(Diccionarios!$G$2:$G$201,MATCH($C165,Diccionarios!$H$2:$H$201,0))&amp;"","")</f>
        <v/>
      </c>
      <c r="M165" s="7" t="str">
        <f>IF(D165="","",D165&amp;"")</f>
        <v/>
      </c>
      <c r="N165" s="8" t="str">
        <f>IF($B165="","",IFERROR(INDEX(Modelos!$H$2:$H$301,MATCH($B165,Modelos!$C$2:$C$301,0)),""))</f>
        <v/>
      </c>
      <c r="O165" s="8" t="str">
        <f>IF($B165="","",IFERROR(INDEX(Modelos!$I$2:$I$301,MATCH($B165,Modelos!$C$2:$C$301,0)),""))</f>
        <v/>
      </c>
      <c r="P165" s="8" t="str">
        <f>IF($B165="","",IFERROR(INDEX(Modelos!$J$2:$J$301,MATCH($B165,Modelos!$C$2:$C$301,0)),""))</f>
        <v/>
      </c>
      <c r="Q165" s="7" t="str">
        <f>IFERROR(INDEX(Diccionarios!$B$2:$B$201,MATCH($A165,Diccionarios!$D$2:$D$201,0))&amp;"","")</f>
        <v/>
      </c>
      <c r="R165" s="7" t="str">
        <f>IFERROR(INDEX(Diccionarios!$C$2:$C$201,MATCH($A165,Diccionarios!$D$2:$D$201,0))&amp;"","")</f>
        <v/>
      </c>
      <c r="S165" s="7" t="str">
        <f>IFERROR(INDEX(Modelos!$K$2:$K$301,MATCH($B165,Modelos!$C$2:$C$301,0))&amp;"","")</f>
        <v/>
      </c>
      <c r="T165" s="7" t="str">
        <f>IFERROR(INDEX(Modelos!$L$2:$L$301,MATCH($B165,Modelos!$C$2:$C$301,0))&amp;"","")</f>
        <v/>
      </c>
    </row>
    <row r="166" spans="1:20" x14ac:dyDescent="0.25">
      <c r="A166" s="5"/>
      <c r="B166" s="5"/>
      <c r="C166" s="5"/>
      <c r="D166" s="6"/>
      <c r="E166" s="5"/>
      <c r="F166" s="7" t="str">
        <f>IF(AND(A166&lt;&gt;"",B166&lt;&gt;"",C166&lt;&gt;"",D166&lt;&gt;""),LEFT(A166,2)&amp;LEFT(B166,4)&amp;LEFT(C166,2)&amp;SUBSTITUTE(UPPER(D166),"Ú","U"),"")</f>
        <v/>
      </c>
      <c r="G166" s="7" t="str">
        <f>IFERROR(INDEX(Modelos!$B$2:$B$301,MATCH($B166,Modelos!$C$2:$C$301,0))&amp;"","")</f>
        <v/>
      </c>
      <c r="H166" s="7" t="str">
        <f>IFERROR(INDEX(Modelos!$D$2:$D$301,MATCH($B166,Modelos!$C$2:$C$301,0))&amp;"","")</f>
        <v/>
      </c>
      <c r="I166" s="7" t="str">
        <f>IFERROR(INDEX(Modelos!$E$2:$E$301,MATCH($B166,Modelos!$C$2:$C$301,0))&amp;"","")</f>
        <v/>
      </c>
      <c r="J166" s="7" t="str">
        <f>IFERROR(INDEX(Modelos!$F$2:$F$301,MATCH($B166,Modelos!$C$2:$C$301,0))&amp;"","")</f>
        <v/>
      </c>
      <c r="K166" s="7" t="str">
        <f>IFERROR(INDEX(Modelos!$G$2:$G$301,MATCH($B166,Modelos!$C$2:$C$301,0))&amp;"","")</f>
        <v/>
      </c>
      <c r="L166" s="7" t="str">
        <f>IFERROR(INDEX(Diccionarios!$G$2:$G$201,MATCH($C166,Diccionarios!$H$2:$H$201,0))&amp;"","")</f>
        <v/>
      </c>
      <c r="M166" s="7" t="str">
        <f>IF(D166="","",D166&amp;"")</f>
        <v/>
      </c>
      <c r="N166" s="8" t="str">
        <f>IF($B166="","",IFERROR(INDEX(Modelos!$H$2:$H$301,MATCH($B166,Modelos!$C$2:$C$301,0)),""))</f>
        <v/>
      </c>
      <c r="O166" s="8" t="str">
        <f>IF($B166="","",IFERROR(INDEX(Modelos!$I$2:$I$301,MATCH($B166,Modelos!$C$2:$C$301,0)),""))</f>
        <v/>
      </c>
      <c r="P166" s="8" t="str">
        <f>IF($B166="","",IFERROR(INDEX(Modelos!$J$2:$J$301,MATCH($B166,Modelos!$C$2:$C$301,0)),""))</f>
        <v/>
      </c>
      <c r="Q166" s="7" t="str">
        <f>IFERROR(INDEX(Diccionarios!$B$2:$B$201,MATCH($A166,Diccionarios!$D$2:$D$201,0))&amp;"","")</f>
        <v/>
      </c>
      <c r="R166" s="7" t="str">
        <f>IFERROR(INDEX(Diccionarios!$C$2:$C$201,MATCH($A166,Diccionarios!$D$2:$D$201,0))&amp;"","")</f>
        <v/>
      </c>
      <c r="S166" s="7" t="str">
        <f>IFERROR(INDEX(Modelos!$K$2:$K$301,MATCH($B166,Modelos!$C$2:$C$301,0))&amp;"","")</f>
        <v/>
      </c>
      <c r="T166" s="7" t="str">
        <f>IFERROR(INDEX(Modelos!$L$2:$L$301,MATCH($B166,Modelos!$C$2:$C$301,0))&amp;"","")</f>
        <v/>
      </c>
    </row>
    <row r="167" spans="1:20" x14ac:dyDescent="0.25">
      <c r="A167" s="5"/>
      <c r="B167" s="5"/>
      <c r="C167" s="5"/>
      <c r="D167" s="6"/>
      <c r="E167" s="5"/>
      <c r="F167" s="7" t="str">
        <f>IF(AND(A167&lt;&gt;"",B167&lt;&gt;"",C167&lt;&gt;"",D167&lt;&gt;""),LEFT(A167,2)&amp;LEFT(B167,4)&amp;LEFT(C167,2)&amp;SUBSTITUTE(UPPER(D167),"Ú","U"),"")</f>
        <v/>
      </c>
      <c r="G167" s="7" t="str">
        <f>IFERROR(INDEX(Modelos!$B$2:$B$301,MATCH($B167,Modelos!$C$2:$C$301,0))&amp;"","")</f>
        <v/>
      </c>
      <c r="H167" s="7" t="str">
        <f>IFERROR(INDEX(Modelos!$D$2:$D$301,MATCH($B167,Modelos!$C$2:$C$301,0))&amp;"","")</f>
        <v/>
      </c>
      <c r="I167" s="7" t="str">
        <f>IFERROR(INDEX(Modelos!$E$2:$E$301,MATCH($B167,Modelos!$C$2:$C$301,0))&amp;"","")</f>
        <v/>
      </c>
      <c r="J167" s="7" t="str">
        <f>IFERROR(INDEX(Modelos!$F$2:$F$301,MATCH($B167,Modelos!$C$2:$C$301,0))&amp;"","")</f>
        <v/>
      </c>
      <c r="K167" s="7" t="str">
        <f>IFERROR(INDEX(Modelos!$G$2:$G$301,MATCH($B167,Modelos!$C$2:$C$301,0))&amp;"","")</f>
        <v/>
      </c>
      <c r="L167" s="7" t="str">
        <f>IFERROR(INDEX(Diccionarios!$G$2:$G$201,MATCH($C167,Diccionarios!$H$2:$H$201,0))&amp;"","")</f>
        <v/>
      </c>
      <c r="M167" s="7" t="str">
        <f>IF(D167="","",D167&amp;"")</f>
        <v/>
      </c>
      <c r="N167" s="8" t="str">
        <f>IF($B167="","",IFERROR(INDEX(Modelos!$H$2:$H$301,MATCH($B167,Modelos!$C$2:$C$301,0)),""))</f>
        <v/>
      </c>
      <c r="O167" s="8" t="str">
        <f>IF($B167="","",IFERROR(INDEX(Modelos!$I$2:$I$301,MATCH($B167,Modelos!$C$2:$C$301,0)),""))</f>
        <v/>
      </c>
      <c r="P167" s="8" t="str">
        <f>IF($B167="","",IFERROR(INDEX(Modelos!$J$2:$J$301,MATCH($B167,Modelos!$C$2:$C$301,0)),""))</f>
        <v/>
      </c>
      <c r="Q167" s="7" t="str">
        <f>IFERROR(INDEX(Diccionarios!$B$2:$B$201,MATCH($A167,Diccionarios!$D$2:$D$201,0))&amp;"","")</f>
        <v/>
      </c>
      <c r="R167" s="7" t="str">
        <f>IFERROR(INDEX(Diccionarios!$C$2:$C$201,MATCH($A167,Diccionarios!$D$2:$D$201,0))&amp;"","")</f>
        <v/>
      </c>
      <c r="S167" s="7" t="str">
        <f>IFERROR(INDEX(Modelos!$K$2:$K$301,MATCH($B167,Modelos!$C$2:$C$301,0))&amp;"","")</f>
        <v/>
      </c>
      <c r="T167" s="7" t="str">
        <f>IFERROR(INDEX(Modelos!$L$2:$L$301,MATCH($B167,Modelos!$C$2:$C$301,0))&amp;"","")</f>
        <v/>
      </c>
    </row>
    <row r="168" spans="1:20" x14ac:dyDescent="0.25">
      <c r="A168" s="5"/>
      <c r="B168" s="5"/>
      <c r="C168" s="5"/>
      <c r="D168" s="6"/>
      <c r="E168" s="5"/>
      <c r="F168" s="7" t="str">
        <f>IF(AND(A168&lt;&gt;"",B168&lt;&gt;"",C168&lt;&gt;"",D168&lt;&gt;""),LEFT(A168,2)&amp;LEFT(B168,4)&amp;LEFT(C168,2)&amp;SUBSTITUTE(UPPER(D168),"Ú","U"),"")</f>
        <v/>
      </c>
      <c r="G168" s="7" t="str">
        <f>IFERROR(INDEX(Modelos!$B$2:$B$301,MATCH($B168,Modelos!$C$2:$C$301,0))&amp;"","")</f>
        <v/>
      </c>
      <c r="H168" s="7" t="str">
        <f>IFERROR(INDEX(Modelos!$D$2:$D$301,MATCH($B168,Modelos!$C$2:$C$301,0))&amp;"","")</f>
        <v/>
      </c>
      <c r="I168" s="7" t="str">
        <f>IFERROR(INDEX(Modelos!$E$2:$E$301,MATCH($B168,Modelos!$C$2:$C$301,0))&amp;"","")</f>
        <v/>
      </c>
      <c r="J168" s="7" t="str">
        <f>IFERROR(INDEX(Modelos!$F$2:$F$301,MATCH($B168,Modelos!$C$2:$C$301,0))&amp;"","")</f>
        <v/>
      </c>
      <c r="K168" s="7" t="str">
        <f>IFERROR(INDEX(Modelos!$G$2:$G$301,MATCH($B168,Modelos!$C$2:$C$301,0))&amp;"","")</f>
        <v/>
      </c>
      <c r="L168" s="7" t="str">
        <f>IFERROR(INDEX(Diccionarios!$G$2:$G$201,MATCH($C168,Diccionarios!$H$2:$H$201,0))&amp;"","")</f>
        <v/>
      </c>
      <c r="M168" s="7" t="str">
        <f>IF(D168="","",D168&amp;"")</f>
        <v/>
      </c>
      <c r="N168" s="8" t="str">
        <f>IF($B168="","",IFERROR(INDEX(Modelos!$H$2:$H$301,MATCH($B168,Modelos!$C$2:$C$301,0)),""))</f>
        <v/>
      </c>
      <c r="O168" s="8" t="str">
        <f>IF($B168="","",IFERROR(INDEX(Modelos!$I$2:$I$301,MATCH($B168,Modelos!$C$2:$C$301,0)),""))</f>
        <v/>
      </c>
      <c r="P168" s="8" t="str">
        <f>IF($B168="","",IFERROR(INDEX(Modelos!$J$2:$J$301,MATCH($B168,Modelos!$C$2:$C$301,0)),""))</f>
        <v/>
      </c>
      <c r="Q168" s="7" t="str">
        <f>IFERROR(INDEX(Diccionarios!$B$2:$B$201,MATCH($A168,Diccionarios!$D$2:$D$201,0))&amp;"","")</f>
        <v/>
      </c>
      <c r="R168" s="7" t="str">
        <f>IFERROR(INDEX(Diccionarios!$C$2:$C$201,MATCH($A168,Diccionarios!$D$2:$D$201,0))&amp;"","")</f>
        <v/>
      </c>
      <c r="S168" s="7" t="str">
        <f>IFERROR(INDEX(Modelos!$K$2:$K$301,MATCH($B168,Modelos!$C$2:$C$301,0))&amp;"","")</f>
        <v/>
      </c>
      <c r="T168" s="7" t="str">
        <f>IFERROR(INDEX(Modelos!$L$2:$L$301,MATCH($B168,Modelos!$C$2:$C$301,0))&amp;"","")</f>
        <v/>
      </c>
    </row>
    <row r="169" spans="1:20" x14ac:dyDescent="0.25">
      <c r="A169" s="5"/>
      <c r="B169" s="5"/>
      <c r="C169" s="5"/>
      <c r="D169" s="6"/>
      <c r="E169" s="5"/>
      <c r="F169" s="7" t="str">
        <f>IF(AND(A169&lt;&gt;"",B169&lt;&gt;"",C169&lt;&gt;"",D169&lt;&gt;""),LEFT(A169,2)&amp;LEFT(B169,4)&amp;LEFT(C169,2)&amp;SUBSTITUTE(UPPER(D169),"Ú","U"),"")</f>
        <v/>
      </c>
      <c r="G169" s="7" t="str">
        <f>IFERROR(INDEX(Modelos!$B$2:$B$301,MATCH($B169,Modelos!$C$2:$C$301,0))&amp;"","")</f>
        <v/>
      </c>
      <c r="H169" s="7" t="str">
        <f>IFERROR(INDEX(Modelos!$D$2:$D$301,MATCH($B169,Modelos!$C$2:$C$301,0))&amp;"","")</f>
        <v/>
      </c>
      <c r="I169" s="7" t="str">
        <f>IFERROR(INDEX(Modelos!$E$2:$E$301,MATCH($B169,Modelos!$C$2:$C$301,0))&amp;"","")</f>
        <v/>
      </c>
      <c r="J169" s="7" t="str">
        <f>IFERROR(INDEX(Modelos!$F$2:$F$301,MATCH($B169,Modelos!$C$2:$C$301,0))&amp;"","")</f>
        <v/>
      </c>
      <c r="K169" s="7" t="str">
        <f>IFERROR(INDEX(Modelos!$G$2:$G$301,MATCH($B169,Modelos!$C$2:$C$301,0))&amp;"","")</f>
        <v/>
      </c>
      <c r="L169" s="7" t="str">
        <f>IFERROR(INDEX(Diccionarios!$G$2:$G$201,MATCH($C169,Diccionarios!$H$2:$H$201,0))&amp;"","")</f>
        <v/>
      </c>
      <c r="M169" s="7" t="str">
        <f>IF(D169="","",D169&amp;"")</f>
        <v/>
      </c>
      <c r="N169" s="8" t="str">
        <f>IF($B169="","",IFERROR(INDEX(Modelos!$H$2:$H$301,MATCH($B169,Modelos!$C$2:$C$301,0)),""))</f>
        <v/>
      </c>
      <c r="O169" s="8" t="str">
        <f>IF($B169="","",IFERROR(INDEX(Modelos!$I$2:$I$301,MATCH($B169,Modelos!$C$2:$C$301,0)),""))</f>
        <v/>
      </c>
      <c r="P169" s="8" t="str">
        <f>IF($B169="","",IFERROR(INDEX(Modelos!$J$2:$J$301,MATCH($B169,Modelos!$C$2:$C$301,0)),""))</f>
        <v/>
      </c>
      <c r="Q169" s="7" t="str">
        <f>IFERROR(INDEX(Diccionarios!$B$2:$B$201,MATCH($A169,Diccionarios!$D$2:$D$201,0))&amp;"","")</f>
        <v/>
      </c>
      <c r="R169" s="7" t="str">
        <f>IFERROR(INDEX(Diccionarios!$C$2:$C$201,MATCH($A169,Diccionarios!$D$2:$D$201,0))&amp;"","")</f>
        <v/>
      </c>
      <c r="S169" s="7" t="str">
        <f>IFERROR(INDEX(Modelos!$K$2:$K$301,MATCH($B169,Modelos!$C$2:$C$301,0))&amp;"","")</f>
        <v/>
      </c>
      <c r="T169" s="7" t="str">
        <f>IFERROR(INDEX(Modelos!$L$2:$L$301,MATCH($B169,Modelos!$C$2:$C$301,0))&amp;"","")</f>
        <v/>
      </c>
    </row>
    <row r="170" spans="1:20" x14ac:dyDescent="0.25">
      <c r="A170" s="5"/>
      <c r="B170" s="5"/>
      <c r="C170" s="5"/>
      <c r="D170" s="6"/>
      <c r="E170" s="5"/>
      <c r="F170" s="7" t="str">
        <f>IF(AND(A170&lt;&gt;"",B170&lt;&gt;"",C170&lt;&gt;"",D170&lt;&gt;""),LEFT(A170,2)&amp;LEFT(B170,4)&amp;LEFT(C170,2)&amp;SUBSTITUTE(UPPER(D170),"Ú","U"),"")</f>
        <v/>
      </c>
      <c r="G170" s="7" t="str">
        <f>IFERROR(INDEX(Modelos!$B$2:$B$301,MATCH($B170,Modelos!$C$2:$C$301,0))&amp;"","")</f>
        <v/>
      </c>
      <c r="H170" s="7" t="str">
        <f>IFERROR(INDEX(Modelos!$D$2:$D$301,MATCH($B170,Modelos!$C$2:$C$301,0))&amp;"","")</f>
        <v/>
      </c>
      <c r="I170" s="7" t="str">
        <f>IFERROR(INDEX(Modelos!$E$2:$E$301,MATCH($B170,Modelos!$C$2:$C$301,0))&amp;"","")</f>
        <v/>
      </c>
      <c r="J170" s="7" t="str">
        <f>IFERROR(INDEX(Modelos!$F$2:$F$301,MATCH($B170,Modelos!$C$2:$C$301,0))&amp;"","")</f>
        <v/>
      </c>
      <c r="K170" s="7" t="str">
        <f>IFERROR(INDEX(Modelos!$G$2:$G$301,MATCH($B170,Modelos!$C$2:$C$301,0))&amp;"","")</f>
        <v/>
      </c>
      <c r="L170" s="7" t="str">
        <f>IFERROR(INDEX(Diccionarios!$G$2:$G$201,MATCH($C170,Diccionarios!$H$2:$H$201,0))&amp;"","")</f>
        <v/>
      </c>
      <c r="M170" s="7" t="str">
        <f>IF(D170="","",D170&amp;"")</f>
        <v/>
      </c>
      <c r="N170" s="8" t="str">
        <f>IF($B170="","",IFERROR(INDEX(Modelos!$H$2:$H$301,MATCH($B170,Modelos!$C$2:$C$301,0)),""))</f>
        <v/>
      </c>
      <c r="O170" s="8" t="str">
        <f>IF($B170="","",IFERROR(INDEX(Modelos!$I$2:$I$301,MATCH($B170,Modelos!$C$2:$C$301,0)),""))</f>
        <v/>
      </c>
      <c r="P170" s="8" t="str">
        <f>IF($B170="","",IFERROR(INDEX(Modelos!$J$2:$J$301,MATCH($B170,Modelos!$C$2:$C$301,0)),""))</f>
        <v/>
      </c>
      <c r="Q170" s="7" t="str">
        <f>IFERROR(INDEX(Diccionarios!$B$2:$B$201,MATCH($A170,Diccionarios!$D$2:$D$201,0))&amp;"","")</f>
        <v/>
      </c>
      <c r="R170" s="7" t="str">
        <f>IFERROR(INDEX(Diccionarios!$C$2:$C$201,MATCH($A170,Diccionarios!$D$2:$D$201,0))&amp;"","")</f>
        <v/>
      </c>
      <c r="S170" s="7" t="str">
        <f>IFERROR(INDEX(Modelos!$K$2:$K$301,MATCH($B170,Modelos!$C$2:$C$301,0))&amp;"","")</f>
        <v/>
      </c>
      <c r="T170" s="7" t="str">
        <f>IFERROR(INDEX(Modelos!$L$2:$L$301,MATCH($B170,Modelos!$C$2:$C$301,0))&amp;"","")</f>
        <v/>
      </c>
    </row>
    <row r="171" spans="1:20" x14ac:dyDescent="0.25">
      <c r="A171" s="5"/>
      <c r="B171" s="5"/>
      <c r="C171" s="5"/>
      <c r="D171" s="6"/>
      <c r="E171" s="5"/>
      <c r="F171" s="7" t="str">
        <f>IF(AND(A171&lt;&gt;"",B171&lt;&gt;"",C171&lt;&gt;"",D171&lt;&gt;""),LEFT(A171,2)&amp;LEFT(B171,4)&amp;LEFT(C171,2)&amp;SUBSTITUTE(UPPER(D171),"Ú","U"),"")</f>
        <v/>
      </c>
      <c r="G171" s="7" t="str">
        <f>IFERROR(INDEX(Modelos!$B$2:$B$301,MATCH($B171,Modelos!$C$2:$C$301,0))&amp;"","")</f>
        <v/>
      </c>
      <c r="H171" s="7" t="str">
        <f>IFERROR(INDEX(Modelos!$D$2:$D$301,MATCH($B171,Modelos!$C$2:$C$301,0))&amp;"","")</f>
        <v/>
      </c>
      <c r="I171" s="7" t="str">
        <f>IFERROR(INDEX(Modelos!$E$2:$E$301,MATCH($B171,Modelos!$C$2:$C$301,0))&amp;"","")</f>
        <v/>
      </c>
      <c r="J171" s="7" t="str">
        <f>IFERROR(INDEX(Modelos!$F$2:$F$301,MATCH($B171,Modelos!$C$2:$C$301,0))&amp;"","")</f>
        <v/>
      </c>
      <c r="K171" s="7" t="str">
        <f>IFERROR(INDEX(Modelos!$G$2:$G$301,MATCH($B171,Modelos!$C$2:$C$301,0))&amp;"","")</f>
        <v/>
      </c>
      <c r="L171" s="7" t="str">
        <f>IFERROR(INDEX(Diccionarios!$G$2:$G$201,MATCH($C171,Diccionarios!$H$2:$H$201,0))&amp;"","")</f>
        <v/>
      </c>
      <c r="M171" s="7" t="str">
        <f>IF(D171="","",D171&amp;"")</f>
        <v/>
      </c>
      <c r="N171" s="8" t="str">
        <f>IF($B171="","",IFERROR(INDEX(Modelos!$H$2:$H$301,MATCH($B171,Modelos!$C$2:$C$301,0)),""))</f>
        <v/>
      </c>
      <c r="O171" s="8" t="str">
        <f>IF($B171="","",IFERROR(INDEX(Modelos!$I$2:$I$301,MATCH($B171,Modelos!$C$2:$C$301,0)),""))</f>
        <v/>
      </c>
      <c r="P171" s="8" t="str">
        <f>IF($B171="","",IFERROR(INDEX(Modelos!$J$2:$J$301,MATCH($B171,Modelos!$C$2:$C$301,0)),""))</f>
        <v/>
      </c>
      <c r="Q171" s="7" t="str">
        <f>IFERROR(INDEX(Diccionarios!$B$2:$B$201,MATCH($A171,Diccionarios!$D$2:$D$201,0))&amp;"","")</f>
        <v/>
      </c>
      <c r="R171" s="7" t="str">
        <f>IFERROR(INDEX(Diccionarios!$C$2:$C$201,MATCH($A171,Diccionarios!$D$2:$D$201,0))&amp;"","")</f>
        <v/>
      </c>
      <c r="S171" s="7" t="str">
        <f>IFERROR(INDEX(Modelos!$K$2:$K$301,MATCH($B171,Modelos!$C$2:$C$301,0))&amp;"","")</f>
        <v/>
      </c>
      <c r="T171" s="7" t="str">
        <f>IFERROR(INDEX(Modelos!$L$2:$L$301,MATCH($B171,Modelos!$C$2:$C$301,0))&amp;"","")</f>
        <v/>
      </c>
    </row>
    <row r="172" spans="1:20" x14ac:dyDescent="0.25">
      <c r="A172" s="5"/>
      <c r="B172" s="5"/>
      <c r="C172" s="5"/>
      <c r="D172" s="6"/>
      <c r="E172" s="5"/>
      <c r="F172" s="7" t="str">
        <f>IF(AND(A172&lt;&gt;"",B172&lt;&gt;"",C172&lt;&gt;"",D172&lt;&gt;""),LEFT(A172,2)&amp;LEFT(B172,4)&amp;LEFT(C172,2)&amp;SUBSTITUTE(UPPER(D172),"Ú","U"),"")</f>
        <v/>
      </c>
      <c r="G172" s="7" t="str">
        <f>IFERROR(INDEX(Modelos!$B$2:$B$301,MATCH($B172,Modelos!$C$2:$C$301,0))&amp;"","")</f>
        <v/>
      </c>
      <c r="H172" s="7" t="str">
        <f>IFERROR(INDEX(Modelos!$D$2:$D$301,MATCH($B172,Modelos!$C$2:$C$301,0))&amp;"","")</f>
        <v/>
      </c>
      <c r="I172" s="7" t="str">
        <f>IFERROR(INDEX(Modelos!$E$2:$E$301,MATCH($B172,Modelos!$C$2:$C$301,0))&amp;"","")</f>
        <v/>
      </c>
      <c r="J172" s="7" t="str">
        <f>IFERROR(INDEX(Modelos!$F$2:$F$301,MATCH($B172,Modelos!$C$2:$C$301,0))&amp;"","")</f>
        <v/>
      </c>
      <c r="K172" s="7" t="str">
        <f>IFERROR(INDEX(Modelos!$G$2:$G$301,MATCH($B172,Modelos!$C$2:$C$301,0))&amp;"","")</f>
        <v/>
      </c>
      <c r="L172" s="7" t="str">
        <f>IFERROR(INDEX(Diccionarios!$G$2:$G$201,MATCH($C172,Diccionarios!$H$2:$H$201,0))&amp;"","")</f>
        <v/>
      </c>
      <c r="M172" s="7" t="str">
        <f>IF(D172="","",D172&amp;"")</f>
        <v/>
      </c>
      <c r="N172" s="8" t="str">
        <f>IF($B172="","",IFERROR(INDEX(Modelos!$H$2:$H$301,MATCH($B172,Modelos!$C$2:$C$301,0)),""))</f>
        <v/>
      </c>
      <c r="O172" s="8" t="str">
        <f>IF($B172="","",IFERROR(INDEX(Modelos!$I$2:$I$301,MATCH($B172,Modelos!$C$2:$C$301,0)),""))</f>
        <v/>
      </c>
      <c r="P172" s="8" t="str">
        <f>IF($B172="","",IFERROR(INDEX(Modelos!$J$2:$J$301,MATCH($B172,Modelos!$C$2:$C$301,0)),""))</f>
        <v/>
      </c>
      <c r="Q172" s="7" t="str">
        <f>IFERROR(INDEX(Diccionarios!$B$2:$B$201,MATCH($A172,Diccionarios!$D$2:$D$201,0))&amp;"","")</f>
        <v/>
      </c>
      <c r="R172" s="7" t="str">
        <f>IFERROR(INDEX(Diccionarios!$C$2:$C$201,MATCH($A172,Diccionarios!$D$2:$D$201,0))&amp;"","")</f>
        <v/>
      </c>
      <c r="S172" s="7" t="str">
        <f>IFERROR(INDEX(Modelos!$K$2:$K$301,MATCH($B172,Modelos!$C$2:$C$301,0))&amp;"","")</f>
        <v/>
      </c>
      <c r="T172" s="7" t="str">
        <f>IFERROR(INDEX(Modelos!$L$2:$L$301,MATCH($B172,Modelos!$C$2:$C$301,0))&amp;"","")</f>
        <v/>
      </c>
    </row>
    <row r="173" spans="1:20" x14ac:dyDescent="0.25">
      <c r="A173" s="5"/>
      <c r="B173" s="5"/>
      <c r="C173" s="5"/>
      <c r="D173" s="6"/>
      <c r="E173" s="5"/>
      <c r="F173" s="7" t="str">
        <f>IF(AND(A173&lt;&gt;"",B173&lt;&gt;"",C173&lt;&gt;"",D173&lt;&gt;""),LEFT(A173,2)&amp;LEFT(B173,4)&amp;LEFT(C173,2)&amp;SUBSTITUTE(UPPER(D173),"Ú","U"),"")</f>
        <v/>
      </c>
      <c r="G173" s="7" t="str">
        <f>IFERROR(INDEX(Modelos!$B$2:$B$301,MATCH($B173,Modelos!$C$2:$C$301,0))&amp;"","")</f>
        <v/>
      </c>
      <c r="H173" s="7" t="str">
        <f>IFERROR(INDEX(Modelos!$D$2:$D$301,MATCH($B173,Modelos!$C$2:$C$301,0))&amp;"","")</f>
        <v/>
      </c>
      <c r="I173" s="7" t="str">
        <f>IFERROR(INDEX(Modelos!$E$2:$E$301,MATCH($B173,Modelos!$C$2:$C$301,0))&amp;"","")</f>
        <v/>
      </c>
      <c r="J173" s="7" t="str">
        <f>IFERROR(INDEX(Modelos!$F$2:$F$301,MATCH($B173,Modelos!$C$2:$C$301,0))&amp;"","")</f>
        <v/>
      </c>
      <c r="K173" s="7" t="str">
        <f>IFERROR(INDEX(Modelos!$G$2:$G$301,MATCH($B173,Modelos!$C$2:$C$301,0))&amp;"","")</f>
        <v/>
      </c>
      <c r="L173" s="7" t="str">
        <f>IFERROR(INDEX(Diccionarios!$G$2:$G$201,MATCH($C173,Diccionarios!$H$2:$H$201,0))&amp;"","")</f>
        <v/>
      </c>
      <c r="M173" s="7" t="str">
        <f>IF(D173="","",D173&amp;"")</f>
        <v/>
      </c>
      <c r="N173" s="8" t="str">
        <f>IF($B173="","",IFERROR(INDEX(Modelos!$H$2:$H$301,MATCH($B173,Modelos!$C$2:$C$301,0)),""))</f>
        <v/>
      </c>
      <c r="O173" s="8" t="str">
        <f>IF($B173="","",IFERROR(INDEX(Modelos!$I$2:$I$301,MATCH($B173,Modelos!$C$2:$C$301,0)),""))</f>
        <v/>
      </c>
      <c r="P173" s="8" t="str">
        <f>IF($B173="","",IFERROR(INDEX(Modelos!$J$2:$J$301,MATCH($B173,Modelos!$C$2:$C$301,0)),""))</f>
        <v/>
      </c>
      <c r="Q173" s="7" t="str">
        <f>IFERROR(INDEX(Diccionarios!$B$2:$B$201,MATCH($A173,Diccionarios!$D$2:$D$201,0))&amp;"","")</f>
        <v/>
      </c>
      <c r="R173" s="7" t="str">
        <f>IFERROR(INDEX(Diccionarios!$C$2:$C$201,MATCH($A173,Diccionarios!$D$2:$D$201,0))&amp;"","")</f>
        <v/>
      </c>
      <c r="S173" s="7" t="str">
        <f>IFERROR(INDEX(Modelos!$K$2:$K$301,MATCH($B173,Modelos!$C$2:$C$301,0))&amp;"","")</f>
        <v/>
      </c>
      <c r="T173" s="7" t="str">
        <f>IFERROR(INDEX(Modelos!$L$2:$L$301,MATCH($B173,Modelos!$C$2:$C$301,0))&amp;"","")</f>
        <v/>
      </c>
    </row>
    <row r="174" spans="1:20" x14ac:dyDescent="0.25">
      <c r="A174" s="5"/>
      <c r="B174" s="5"/>
      <c r="C174" s="5"/>
      <c r="D174" s="6"/>
      <c r="E174" s="5"/>
      <c r="F174" s="7" t="str">
        <f>IF(AND(A174&lt;&gt;"",B174&lt;&gt;"",C174&lt;&gt;"",D174&lt;&gt;""),LEFT(A174,2)&amp;LEFT(B174,4)&amp;LEFT(C174,2)&amp;SUBSTITUTE(UPPER(D174),"Ú","U"),"")</f>
        <v/>
      </c>
      <c r="G174" s="7" t="str">
        <f>IFERROR(INDEX(Modelos!$B$2:$B$301,MATCH($B174,Modelos!$C$2:$C$301,0))&amp;"","")</f>
        <v/>
      </c>
      <c r="H174" s="7" t="str">
        <f>IFERROR(INDEX(Modelos!$D$2:$D$301,MATCH($B174,Modelos!$C$2:$C$301,0))&amp;"","")</f>
        <v/>
      </c>
      <c r="I174" s="7" t="str">
        <f>IFERROR(INDEX(Modelos!$E$2:$E$301,MATCH($B174,Modelos!$C$2:$C$301,0))&amp;"","")</f>
        <v/>
      </c>
      <c r="J174" s="7" t="str">
        <f>IFERROR(INDEX(Modelos!$F$2:$F$301,MATCH($B174,Modelos!$C$2:$C$301,0))&amp;"","")</f>
        <v/>
      </c>
      <c r="K174" s="7" t="str">
        <f>IFERROR(INDEX(Modelos!$G$2:$G$301,MATCH($B174,Modelos!$C$2:$C$301,0))&amp;"","")</f>
        <v/>
      </c>
      <c r="L174" s="7" t="str">
        <f>IFERROR(INDEX(Diccionarios!$G$2:$G$201,MATCH($C174,Diccionarios!$H$2:$H$201,0))&amp;"","")</f>
        <v/>
      </c>
      <c r="M174" s="7" t="str">
        <f>IF(D174="","",D174&amp;"")</f>
        <v/>
      </c>
      <c r="N174" s="8" t="str">
        <f>IF($B174="","",IFERROR(INDEX(Modelos!$H$2:$H$301,MATCH($B174,Modelos!$C$2:$C$301,0)),""))</f>
        <v/>
      </c>
      <c r="O174" s="8" t="str">
        <f>IF($B174="","",IFERROR(INDEX(Modelos!$I$2:$I$301,MATCH($B174,Modelos!$C$2:$C$301,0)),""))</f>
        <v/>
      </c>
      <c r="P174" s="8" t="str">
        <f>IF($B174="","",IFERROR(INDEX(Modelos!$J$2:$J$301,MATCH($B174,Modelos!$C$2:$C$301,0)),""))</f>
        <v/>
      </c>
      <c r="Q174" s="7" t="str">
        <f>IFERROR(INDEX(Diccionarios!$B$2:$B$201,MATCH($A174,Diccionarios!$D$2:$D$201,0))&amp;"","")</f>
        <v/>
      </c>
      <c r="R174" s="7" t="str">
        <f>IFERROR(INDEX(Diccionarios!$C$2:$C$201,MATCH($A174,Diccionarios!$D$2:$D$201,0))&amp;"","")</f>
        <v/>
      </c>
      <c r="S174" s="7" t="str">
        <f>IFERROR(INDEX(Modelos!$K$2:$K$301,MATCH($B174,Modelos!$C$2:$C$301,0))&amp;"","")</f>
        <v/>
      </c>
      <c r="T174" s="7" t="str">
        <f>IFERROR(INDEX(Modelos!$L$2:$L$301,MATCH($B174,Modelos!$C$2:$C$301,0))&amp;"","")</f>
        <v/>
      </c>
    </row>
    <row r="175" spans="1:20" x14ac:dyDescent="0.25">
      <c r="A175" s="5"/>
      <c r="B175" s="5"/>
      <c r="C175" s="5"/>
      <c r="D175" s="6"/>
      <c r="E175" s="5"/>
      <c r="F175" s="7" t="str">
        <f>IF(AND(A175&lt;&gt;"",B175&lt;&gt;"",C175&lt;&gt;"",D175&lt;&gt;""),LEFT(A175,2)&amp;LEFT(B175,4)&amp;LEFT(C175,2)&amp;SUBSTITUTE(UPPER(D175),"Ú","U"),"")</f>
        <v/>
      </c>
      <c r="G175" s="7" t="str">
        <f>IFERROR(INDEX(Modelos!$B$2:$B$301,MATCH($B175,Modelos!$C$2:$C$301,0))&amp;"","")</f>
        <v/>
      </c>
      <c r="H175" s="7" t="str">
        <f>IFERROR(INDEX(Modelos!$D$2:$D$301,MATCH($B175,Modelos!$C$2:$C$301,0))&amp;"","")</f>
        <v/>
      </c>
      <c r="I175" s="7" t="str">
        <f>IFERROR(INDEX(Modelos!$E$2:$E$301,MATCH($B175,Modelos!$C$2:$C$301,0))&amp;"","")</f>
        <v/>
      </c>
      <c r="J175" s="7" t="str">
        <f>IFERROR(INDEX(Modelos!$F$2:$F$301,MATCH($B175,Modelos!$C$2:$C$301,0))&amp;"","")</f>
        <v/>
      </c>
      <c r="K175" s="7" t="str">
        <f>IFERROR(INDEX(Modelos!$G$2:$G$301,MATCH($B175,Modelos!$C$2:$C$301,0))&amp;"","")</f>
        <v/>
      </c>
      <c r="L175" s="7" t="str">
        <f>IFERROR(INDEX(Diccionarios!$G$2:$G$201,MATCH($C175,Diccionarios!$H$2:$H$201,0))&amp;"","")</f>
        <v/>
      </c>
      <c r="M175" s="7" t="str">
        <f>IF(D175="","",D175&amp;"")</f>
        <v/>
      </c>
      <c r="N175" s="8" t="str">
        <f>IF($B175="","",IFERROR(INDEX(Modelos!$H$2:$H$301,MATCH($B175,Modelos!$C$2:$C$301,0)),""))</f>
        <v/>
      </c>
      <c r="O175" s="8" t="str">
        <f>IF($B175="","",IFERROR(INDEX(Modelos!$I$2:$I$301,MATCH($B175,Modelos!$C$2:$C$301,0)),""))</f>
        <v/>
      </c>
      <c r="P175" s="8" t="str">
        <f>IF($B175="","",IFERROR(INDEX(Modelos!$J$2:$J$301,MATCH($B175,Modelos!$C$2:$C$301,0)),""))</f>
        <v/>
      </c>
      <c r="Q175" s="7" t="str">
        <f>IFERROR(INDEX(Diccionarios!$B$2:$B$201,MATCH($A175,Diccionarios!$D$2:$D$201,0))&amp;"","")</f>
        <v/>
      </c>
      <c r="R175" s="7" t="str">
        <f>IFERROR(INDEX(Diccionarios!$C$2:$C$201,MATCH($A175,Diccionarios!$D$2:$D$201,0))&amp;"","")</f>
        <v/>
      </c>
      <c r="S175" s="7" t="str">
        <f>IFERROR(INDEX(Modelos!$K$2:$K$301,MATCH($B175,Modelos!$C$2:$C$301,0))&amp;"","")</f>
        <v/>
      </c>
      <c r="T175" s="7" t="str">
        <f>IFERROR(INDEX(Modelos!$L$2:$L$301,MATCH($B175,Modelos!$C$2:$C$301,0))&amp;"","")</f>
        <v/>
      </c>
    </row>
    <row r="176" spans="1:20" x14ac:dyDescent="0.25">
      <c r="A176" s="5"/>
      <c r="B176" s="5"/>
      <c r="C176" s="5"/>
      <c r="D176" s="6"/>
      <c r="E176" s="5"/>
      <c r="F176" s="7" t="str">
        <f>IF(AND(A176&lt;&gt;"",B176&lt;&gt;"",C176&lt;&gt;"",D176&lt;&gt;""),LEFT(A176,2)&amp;LEFT(B176,4)&amp;LEFT(C176,2)&amp;SUBSTITUTE(UPPER(D176),"Ú","U"),"")</f>
        <v/>
      </c>
      <c r="G176" s="7" t="str">
        <f>IFERROR(INDEX(Modelos!$B$2:$B$301,MATCH($B176,Modelos!$C$2:$C$301,0))&amp;"","")</f>
        <v/>
      </c>
      <c r="H176" s="7" t="str">
        <f>IFERROR(INDEX(Modelos!$D$2:$D$301,MATCH($B176,Modelos!$C$2:$C$301,0))&amp;"","")</f>
        <v/>
      </c>
      <c r="I176" s="7" t="str">
        <f>IFERROR(INDEX(Modelos!$E$2:$E$301,MATCH($B176,Modelos!$C$2:$C$301,0))&amp;"","")</f>
        <v/>
      </c>
      <c r="J176" s="7" t="str">
        <f>IFERROR(INDEX(Modelos!$F$2:$F$301,MATCH($B176,Modelos!$C$2:$C$301,0))&amp;"","")</f>
        <v/>
      </c>
      <c r="K176" s="7" t="str">
        <f>IFERROR(INDEX(Modelos!$G$2:$G$301,MATCH($B176,Modelos!$C$2:$C$301,0))&amp;"","")</f>
        <v/>
      </c>
      <c r="L176" s="7" t="str">
        <f>IFERROR(INDEX(Diccionarios!$G$2:$G$201,MATCH($C176,Diccionarios!$H$2:$H$201,0))&amp;"","")</f>
        <v/>
      </c>
      <c r="M176" s="7" t="str">
        <f>IF(D176="","",D176&amp;"")</f>
        <v/>
      </c>
      <c r="N176" s="8" t="str">
        <f>IF($B176="","",IFERROR(INDEX(Modelos!$H$2:$H$301,MATCH($B176,Modelos!$C$2:$C$301,0)),""))</f>
        <v/>
      </c>
      <c r="O176" s="8" t="str">
        <f>IF($B176="","",IFERROR(INDEX(Modelos!$I$2:$I$301,MATCH($B176,Modelos!$C$2:$C$301,0)),""))</f>
        <v/>
      </c>
      <c r="P176" s="8" t="str">
        <f>IF($B176="","",IFERROR(INDEX(Modelos!$J$2:$J$301,MATCH($B176,Modelos!$C$2:$C$301,0)),""))</f>
        <v/>
      </c>
      <c r="Q176" s="7" t="str">
        <f>IFERROR(INDEX(Diccionarios!$B$2:$B$201,MATCH($A176,Diccionarios!$D$2:$D$201,0))&amp;"","")</f>
        <v/>
      </c>
      <c r="R176" s="7" t="str">
        <f>IFERROR(INDEX(Diccionarios!$C$2:$C$201,MATCH($A176,Diccionarios!$D$2:$D$201,0))&amp;"","")</f>
        <v/>
      </c>
      <c r="S176" s="7" t="str">
        <f>IFERROR(INDEX(Modelos!$K$2:$K$301,MATCH($B176,Modelos!$C$2:$C$301,0))&amp;"","")</f>
        <v/>
      </c>
      <c r="T176" s="7" t="str">
        <f>IFERROR(INDEX(Modelos!$L$2:$L$301,MATCH($B176,Modelos!$C$2:$C$301,0))&amp;"","")</f>
        <v/>
      </c>
    </row>
    <row r="177" spans="1:20" x14ac:dyDescent="0.25">
      <c r="A177" s="5"/>
      <c r="B177" s="5"/>
      <c r="C177" s="5"/>
      <c r="D177" s="6"/>
      <c r="E177" s="5"/>
      <c r="F177" s="7" t="str">
        <f>IF(AND(A177&lt;&gt;"",B177&lt;&gt;"",C177&lt;&gt;"",D177&lt;&gt;""),LEFT(A177,2)&amp;LEFT(B177,4)&amp;LEFT(C177,2)&amp;SUBSTITUTE(UPPER(D177),"Ú","U"),"")</f>
        <v/>
      </c>
      <c r="G177" s="7" t="str">
        <f>IFERROR(INDEX(Modelos!$B$2:$B$301,MATCH($B177,Modelos!$C$2:$C$301,0))&amp;"","")</f>
        <v/>
      </c>
      <c r="H177" s="7" t="str">
        <f>IFERROR(INDEX(Modelos!$D$2:$D$301,MATCH($B177,Modelos!$C$2:$C$301,0))&amp;"","")</f>
        <v/>
      </c>
      <c r="I177" s="7" t="str">
        <f>IFERROR(INDEX(Modelos!$E$2:$E$301,MATCH($B177,Modelos!$C$2:$C$301,0))&amp;"","")</f>
        <v/>
      </c>
      <c r="J177" s="7" t="str">
        <f>IFERROR(INDEX(Modelos!$F$2:$F$301,MATCH($B177,Modelos!$C$2:$C$301,0))&amp;"","")</f>
        <v/>
      </c>
      <c r="K177" s="7" t="str">
        <f>IFERROR(INDEX(Modelos!$G$2:$G$301,MATCH($B177,Modelos!$C$2:$C$301,0))&amp;"","")</f>
        <v/>
      </c>
      <c r="L177" s="7" t="str">
        <f>IFERROR(INDEX(Diccionarios!$G$2:$G$201,MATCH($C177,Diccionarios!$H$2:$H$201,0))&amp;"","")</f>
        <v/>
      </c>
      <c r="M177" s="7" t="str">
        <f>IF(D177="","",D177&amp;"")</f>
        <v/>
      </c>
      <c r="N177" s="8" t="str">
        <f>IF($B177="","",IFERROR(INDEX(Modelos!$H$2:$H$301,MATCH($B177,Modelos!$C$2:$C$301,0)),""))</f>
        <v/>
      </c>
      <c r="O177" s="8" t="str">
        <f>IF($B177="","",IFERROR(INDEX(Modelos!$I$2:$I$301,MATCH($B177,Modelos!$C$2:$C$301,0)),""))</f>
        <v/>
      </c>
      <c r="P177" s="8" t="str">
        <f>IF($B177="","",IFERROR(INDEX(Modelos!$J$2:$J$301,MATCH($B177,Modelos!$C$2:$C$301,0)),""))</f>
        <v/>
      </c>
      <c r="Q177" s="7" t="str">
        <f>IFERROR(INDEX(Diccionarios!$B$2:$B$201,MATCH($A177,Diccionarios!$D$2:$D$201,0))&amp;"","")</f>
        <v/>
      </c>
      <c r="R177" s="7" t="str">
        <f>IFERROR(INDEX(Diccionarios!$C$2:$C$201,MATCH($A177,Diccionarios!$D$2:$D$201,0))&amp;"","")</f>
        <v/>
      </c>
      <c r="S177" s="7" t="str">
        <f>IFERROR(INDEX(Modelos!$K$2:$K$301,MATCH($B177,Modelos!$C$2:$C$301,0))&amp;"","")</f>
        <v/>
      </c>
      <c r="T177" s="7" t="str">
        <f>IFERROR(INDEX(Modelos!$L$2:$L$301,MATCH($B177,Modelos!$C$2:$C$301,0))&amp;"","")</f>
        <v/>
      </c>
    </row>
    <row r="178" spans="1:20" x14ac:dyDescent="0.25">
      <c r="A178" s="5"/>
      <c r="B178" s="5"/>
      <c r="C178" s="5"/>
      <c r="D178" s="6"/>
      <c r="E178" s="5"/>
      <c r="F178" s="7" t="str">
        <f>IF(AND(A178&lt;&gt;"",B178&lt;&gt;"",C178&lt;&gt;"",D178&lt;&gt;""),LEFT(A178,2)&amp;LEFT(B178,4)&amp;LEFT(C178,2)&amp;SUBSTITUTE(UPPER(D178),"Ú","U"),"")</f>
        <v/>
      </c>
      <c r="G178" s="7" t="str">
        <f>IFERROR(INDEX(Modelos!$B$2:$B$301,MATCH($B178,Modelos!$C$2:$C$301,0))&amp;"","")</f>
        <v/>
      </c>
      <c r="H178" s="7" t="str">
        <f>IFERROR(INDEX(Modelos!$D$2:$D$301,MATCH($B178,Modelos!$C$2:$C$301,0))&amp;"","")</f>
        <v/>
      </c>
      <c r="I178" s="7" t="str">
        <f>IFERROR(INDEX(Modelos!$E$2:$E$301,MATCH($B178,Modelos!$C$2:$C$301,0))&amp;"","")</f>
        <v/>
      </c>
      <c r="J178" s="7" t="str">
        <f>IFERROR(INDEX(Modelos!$F$2:$F$301,MATCH($B178,Modelos!$C$2:$C$301,0))&amp;"","")</f>
        <v/>
      </c>
      <c r="K178" s="7" t="str">
        <f>IFERROR(INDEX(Modelos!$G$2:$G$301,MATCH($B178,Modelos!$C$2:$C$301,0))&amp;"","")</f>
        <v/>
      </c>
      <c r="L178" s="7" t="str">
        <f>IFERROR(INDEX(Diccionarios!$G$2:$G$201,MATCH($C178,Diccionarios!$H$2:$H$201,0))&amp;"","")</f>
        <v/>
      </c>
      <c r="M178" s="7" t="str">
        <f>IF(D178="","",D178&amp;"")</f>
        <v/>
      </c>
      <c r="N178" s="8" t="str">
        <f>IF($B178="","",IFERROR(INDEX(Modelos!$H$2:$H$301,MATCH($B178,Modelos!$C$2:$C$301,0)),""))</f>
        <v/>
      </c>
      <c r="O178" s="8" t="str">
        <f>IF($B178="","",IFERROR(INDEX(Modelos!$I$2:$I$301,MATCH($B178,Modelos!$C$2:$C$301,0)),""))</f>
        <v/>
      </c>
      <c r="P178" s="8" t="str">
        <f>IF($B178="","",IFERROR(INDEX(Modelos!$J$2:$J$301,MATCH($B178,Modelos!$C$2:$C$301,0)),""))</f>
        <v/>
      </c>
      <c r="Q178" s="7" t="str">
        <f>IFERROR(INDEX(Diccionarios!$B$2:$B$201,MATCH($A178,Diccionarios!$D$2:$D$201,0))&amp;"","")</f>
        <v/>
      </c>
      <c r="R178" s="7" t="str">
        <f>IFERROR(INDEX(Diccionarios!$C$2:$C$201,MATCH($A178,Diccionarios!$D$2:$D$201,0))&amp;"","")</f>
        <v/>
      </c>
      <c r="S178" s="7" t="str">
        <f>IFERROR(INDEX(Modelos!$K$2:$K$301,MATCH($B178,Modelos!$C$2:$C$301,0))&amp;"","")</f>
        <v/>
      </c>
      <c r="T178" s="7" t="str">
        <f>IFERROR(INDEX(Modelos!$L$2:$L$301,MATCH($B178,Modelos!$C$2:$C$301,0))&amp;"","")</f>
        <v/>
      </c>
    </row>
    <row r="179" spans="1:20" x14ac:dyDescent="0.25">
      <c r="A179" s="5"/>
      <c r="B179" s="5"/>
      <c r="C179" s="5"/>
      <c r="D179" s="6"/>
      <c r="E179" s="5"/>
      <c r="F179" s="7" t="str">
        <f>IF(AND(A179&lt;&gt;"",B179&lt;&gt;"",C179&lt;&gt;"",D179&lt;&gt;""),LEFT(A179,2)&amp;LEFT(B179,4)&amp;LEFT(C179,2)&amp;SUBSTITUTE(UPPER(D179),"Ú","U"),"")</f>
        <v/>
      </c>
      <c r="G179" s="7" t="str">
        <f>IFERROR(INDEX(Modelos!$B$2:$B$301,MATCH($B179,Modelos!$C$2:$C$301,0))&amp;"","")</f>
        <v/>
      </c>
      <c r="H179" s="7" t="str">
        <f>IFERROR(INDEX(Modelos!$D$2:$D$301,MATCH($B179,Modelos!$C$2:$C$301,0))&amp;"","")</f>
        <v/>
      </c>
      <c r="I179" s="7" t="str">
        <f>IFERROR(INDEX(Modelos!$E$2:$E$301,MATCH($B179,Modelos!$C$2:$C$301,0))&amp;"","")</f>
        <v/>
      </c>
      <c r="J179" s="7" t="str">
        <f>IFERROR(INDEX(Modelos!$F$2:$F$301,MATCH($B179,Modelos!$C$2:$C$301,0))&amp;"","")</f>
        <v/>
      </c>
      <c r="K179" s="7" t="str">
        <f>IFERROR(INDEX(Modelos!$G$2:$G$301,MATCH($B179,Modelos!$C$2:$C$301,0))&amp;"","")</f>
        <v/>
      </c>
      <c r="L179" s="7" t="str">
        <f>IFERROR(INDEX(Diccionarios!$G$2:$G$201,MATCH($C179,Diccionarios!$H$2:$H$201,0))&amp;"","")</f>
        <v/>
      </c>
      <c r="M179" s="7" t="str">
        <f>IF(D179="","",D179&amp;"")</f>
        <v/>
      </c>
      <c r="N179" s="8" t="str">
        <f>IF($B179="","",IFERROR(INDEX(Modelos!$H$2:$H$301,MATCH($B179,Modelos!$C$2:$C$301,0)),""))</f>
        <v/>
      </c>
      <c r="O179" s="8" t="str">
        <f>IF($B179="","",IFERROR(INDEX(Modelos!$I$2:$I$301,MATCH($B179,Modelos!$C$2:$C$301,0)),""))</f>
        <v/>
      </c>
      <c r="P179" s="8" t="str">
        <f>IF($B179="","",IFERROR(INDEX(Modelos!$J$2:$J$301,MATCH($B179,Modelos!$C$2:$C$301,0)),""))</f>
        <v/>
      </c>
      <c r="Q179" s="7" t="str">
        <f>IFERROR(INDEX(Diccionarios!$B$2:$B$201,MATCH($A179,Diccionarios!$D$2:$D$201,0))&amp;"","")</f>
        <v/>
      </c>
      <c r="R179" s="7" t="str">
        <f>IFERROR(INDEX(Diccionarios!$C$2:$C$201,MATCH($A179,Diccionarios!$D$2:$D$201,0))&amp;"","")</f>
        <v/>
      </c>
      <c r="S179" s="7" t="str">
        <f>IFERROR(INDEX(Modelos!$K$2:$K$301,MATCH($B179,Modelos!$C$2:$C$301,0))&amp;"","")</f>
        <v/>
      </c>
      <c r="T179" s="7" t="str">
        <f>IFERROR(INDEX(Modelos!$L$2:$L$301,MATCH($B179,Modelos!$C$2:$C$301,0))&amp;"","")</f>
        <v/>
      </c>
    </row>
    <row r="180" spans="1:20" x14ac:dyDescent="0.25">
      <c r="A180" s="5"/>
      <c r="B180" s="5"/>
      <c r="C180" s="5"/>
      <c r="D180" s="6"/>
      <c r="E180" s="5"/>
      <c r="F180" s="7" t="str">
        <f>IF(AND(A180&lt;&gt;"",B180&lt;&gt;"",C180&lt;&gt;"",D180&lt;&gt;""),LEFT(A180,2)&amp;LEFT(B180,4)&amp;LEFT(C180,2)&amp;SUBSTITUTE(UPPER(D180),"Ú","U"),"")</f>
        <v/>
      </c>
      <c r="G180" s="7" t="str">
        <f>IFERROR(INDEX(Modelos!$B$2:$B$301,MATCH($B180,Modelos!$C$2:$C$301,0))&amp;"","")</f>
        <v/>
      </c>
      <c r="H180" s="7" t="str">
        <f>IFERROR(INDEX(Modelos!$D$2:$D$301,MATCH($B180,Modelos!$C$2:$C$301,0))&amp;"","")</f>
        <v/>
      </c>
      <c r="I180" s="7" t="str">
        <f>IFERROR(INDEX(Modelos!$E$2:$E$301,MATCH($B180,Modelos!$C$2:$C$301,0))&amp;"","")</f>
        <v/>
      </c>
      <c r="J180" s="7" t="str">
        <f>IFERROR(INDEX(Modelos!$F$2:$F$301,MATCH($B180,Modelos!$C$2:$C$301,0))&amp;"","")</f>
        <v/>
      </c>
      <c r="K180" s="7" t="str">
        <f>IFERROR(INDEX(Modelos!$G$2:$G$301,MATCH($B180,Modelos!$C$2:$C$301,0))&amp;"","")</f>
        <v/>
      </c>
      <c r="L180" s="7" t="str">
        <f>IFERROR(INDEX(Diccionarios!$G$2:$G$201,MATCH($C180,Diccionarios!$H$2:$H$201,0))&amp;"","")</f>
        <v/>
      </c>
      <c r="M180" s="7" t="str">
        <f>IF(D180="","",D180&amp;"")</f>
        <v/>
      </c>
      <c r="N180" s="8" t="str">
        <f>IF($B180="","",IFERROR(INDEX(Modelos!$H$2:$H$301,MATCH($B180,Modelos!$C$2:$C$301,0)),""))</f>
        <v/>
      </c>
      <c r="O180" s="8" t="str">
        <f>IF($B180="","",IFERROR(INDEX(Modelos!$I$2:$I$301,MATCH($B180,Modelos!$C$2:$C$301,0)),""))</f>
        <v/>
      </c>
      <c r="P180" s="8" t="str">
        <f>IF($B180="","",IFERROR(INDEX(Modelos!$J$2:$J$301,MATCH($B180,Modelos!$C$2:$C$301,0)),""))</f>
        <v/>
      </c>
      <c r="Q180" s="7" t="str">
        <f>IFERROR(INDEX(Diccionarios!$B$2:$B$201,MATCH($A180,Diccionarios!$D$2:$D$201,0))&amp;"","")</f>
        <v/>
      </c>
      <c r="R180" s="7" t="str">
        <f>IFERROR(INDEX(Diccionarios!$C$2:$C$201,MATCH($A180,Diccionarios!$D$2:$D$201,0))&amp;"","")</f>
        <v/>
      </c>
      <c r="S180" s="7" t="str">
        <f>IFERROR(INDEX(Modelos!$K$2:$K$301,MATCH($B180,Modelos!$C$2:$C$301,0))&amp;"","")</f>
        <v/>
      </c>
      <c r="T180" s="7" t="str">
        <f>IFERROR(INDEX(Modelos!$L$2:$L$301,MATCH($B180,Modelos!$C$2:$C$301,0))&amp;"","")</f>
        <v/>
      </c>
    </row>
    <row r="181" spans="1:20" x14ac:dyDescent="0.25">
      <c r="A181" s="5"/>
      <c r="B181" s="5"/>
      <c r="C181" s="5"/>
      <c r="D181" s="6"/>
      <c r="E181" s="5"/>
      <c r="F181" s="7" t="str">
        <f>IF(AND(A181&lt;&gt;"",B181&lt;&gt;"",C181&lt;&gt;"",D181&lt;&gt;""),LEFT(A181,2)&amp;LEFT(B181,4)&amp;LEFT(C181,2)&amp;SUBSTITUTE(UPPER(D181),"Ú","U"),"")</f>
        <v/>
      </c>
      <c r="G181" s="7" t="str">
        <f>IFERROR(INDEX(Modelos!$B$2:$B$301,MATCH($B181,Modelos!$C$2:$C$301,0))&amp;"","")</f>
        <v/>
      </c>
      <c r="H181" s="7" t="str">
        <f>IFERROR(INDEX(Modelos!$D$2:$D$301,MATCH($B181,Modelos!$C$2:$C$301,0))&amp;"","")</f>
        <v/>
      </c>
      <c r="I181" s="7" t="str">
        <f>IFERROR(INDEX(Modelos!$E$2:$E$301,MATCH($B181,Modelos!$C$2:$C$301,0))&amp;"","")</f>
        <v/>
      </c>
      <c r="J181" s="7" t="str">
        <f>IFERROR(INDEX(Modelos!$F$2:$F$301,MATCH($B181,Modelos!$C$2:$C$301,0))&amp;"","")</f>
        <v/>
      </c>
      <c r="K181" s="7" t="str">
        <f>IFERROR(INDEX(Modelos!$G$2:$G$301,MATCH($B181,Modelos!$C$2:$C$301,0))&amp;"","")</f>
        <v/>
      </c>
      <c r="L181" s="7" t="str">
        <f>IFERROR(INDEX(Diccionarios!$G$2:$G$201,MATCH($C181,Diccionarios!$H$2:$H$201,0))&amp;"","")</f>
        <v/>
      </c>
      <c r="M181" s="7" t="str">
        <f>IF(D181="","",D181&amp;"")</f>
        <v/>
      </c>
      <c r="N181" s="8" t="str">
        <f>IF($B181="","",IFERROR(INDEX(Modelos!$H$2:$H$301,MATCH($B181,Modelos!$C$2:$C$301,0)),""))</f>
        <v/>
      </c>
      <c r="O181" s="8" t="str">
        <f>IF($B181="","",IFERROR(INDEX(Modelos!$I$2:$I$301,MATCH($B181,Modelos!$C$2:$C$301,0)),""))</f>
        <v/>
      </c>
      <c r="P181" s="8" t="str">
        <f>IF($B181="","",IFERROR(INDEX(Modelos!$J$2:$J$301,MATCH($B181,Modelos!$C$2:$C$301,0)),""))</f>
        <v/>
      </c>
      <c r="Q181" s="7" t="str">
        <f>IFERROR(INDEX(Diccionarios!$B$2:$B$201,MATCH($A181,Diccionarios!$D$2:$D$201,0))&amp;"","")</f>
        <v/>
      </c>
      <c r="R181" s="7" t="str">
        <f>IFERROR(INDEX(Diccionarios!$C$2:$C$201,MATCH($A181,Diccionarios!$D$2:$D$201,0))&amp;"","")</f>
        <v/>
      </c>
      <c r="S181" s="7" t="str">
        <f>IFERROR(INDEX(Modelos!$K$2:$K$301,MATCH($B181,Modelos!$C$2:$C$301,0))&amp;"","")</f>
        <v/>
      </c>
      <c r="T181" s="7" t="str">
        <f>IFERROR(INDEX(Modelos!$L$2:$L$301,MATCH($B181,Modelos!$C$2:$C$301,0))&amp;"","")</f>
        <v/>
      </c>
    </row>
    <row r="182" spans="1:20" x14ac:dyDescent="0.25">
      <c r="A182" s="5"/>
      <c r="B182" s="5"/>
      <c r="C182" s="5"/>
      <c r="D182" s="6"/>
      <c r="E182" s="5"/>
      <c r="F182" s="7" t="str">
        <f>IF(AND(A182&lt;&gt;"",B182&lt;&gt;"",C182&lt;&gt;"",D182&lt;&gt;""),LEFT(A182,2)&amp;LEFT(B182,4)&amp;LEFT(C182,2)&amp;SUBSTITUTE(UPPER(D182),"Ú","U"),"")</f>
        <v/>
      </c>
      <c r="G182" s="7" t="str">
        <f>IFERROR(INDEX(Modelos!$B$2:$B$301,MATCH($B182,Modelos!$C$2:$C$301,0))&amp;"","")</f>
        <v/>
      </c>
      <c r="H182" s="7" t="str">
        <f>IFERROR(INDEX(Modelos!$D$2:$D$301,MATCH($B182,Modelos!$C$2:$C$301,0))&amp;"","")</f>
        <v/>
      </c>
      <c r="I182" s="7" t="str">
        <f>IFERROR(INDEX(Modelos!$E$2:$E$301,MATCH($B182,Modelos!$C$2:$C$301,0))&amp;"","")</f>
        <v/>
      </c>
      <c r="J182" s="7" t="str">
        <f>IFERROR(INDEX(Modelos!$F$2:$F$301,MATCH($B182,Modelos!$C$2:$C$301,0))&amp;"","")</f>
        <v/>
      </c>
      <c r="K182" s="7" t="str">
        <f>IFERROR(INDEX(Modelos!$G$2:$G$301,MATCH($B182,Modelos!$C$2:$C$301,0))&amp;"","")</f>
        <v/>
      </c>
      <c r="L182" s="7" t="str">
        <f>IFERROR(INDEX(Diccionarios!$G$2:$G$201,MATCH($C182,Diccionarios!$H$2:$H$201,0))&amp;"","")</f>
        <v/>
      </c>
      <c r="M182" s="7" t="str">
        <f>IF(D182="","",D182&amp;"")</f>
        <v/>
      </c>
      <c r="N182" s="8" t="str">
        <f>IF($B182="","",IFERROR(INDEX(Modelos!$H$2:$H$301,MATCH($B182,Modelos!$C$2:$C$301,0)),""))</f>
        <v/>
      </c>
      <c r="O182" s="8" t="str">
        <f>IF($B182="","",IFERROR(INDEX(Modelos!$I$2:$I$301,MATCH($B182,Modelos!$C$2:$C$301,0)),""))</f>
        <v/>
      </c>
      <c r="P182" s="8" t="str">
        <f>IF($B182="","",IFERROR(INDEX(Modelos!$J$2:$J$301,MATCH($B182,Modelos!$C$2:$C$301,0)),""))</f>
        <v/>
      </c>
      <c r="Q182" s="7" t="str">
        <f>IFERROR(INDEX(Diccionarios!$B$2:$B$201,MATCH($A182,Diccionarios!$D$2:$D$201,0))&amp;"","")</f>
        <v/>
      </c>
      <c r="R182" s="7" t="str">
        <f>IFERROR(INDEX(Diccionarios!$C$2:$C$201,MATCH($A182,Diccionarios!$D$2:$D$201,0))&amp;"","")</f>
        <v/>
      </c>
      <c r="S182" s="7" t="str">
        <f>IFERROR(INDEX(Modelos!$K$2:$K$301,MATCH($B182,Modelos!$C$2:$C$301,0))&amp;"","")</f>
        <v/>
      </c>
      <c r="T182" s="7" t="str">
        <f>IFERROR(INDEX(Modelos!$L$2:$L$301,MATCH($B182,Modelos!$C$2:$C$301,0))&amp;"","")</f>
        <v/>
      </c>
    </row>
    <row r="183" spans="1:20" x14ac:dyDescent="0.25">
      <c r="A183" s="5"/>
      <c r="B183" s="5"/>
      <c r="C183" s="5"/>
      <c r="D183" s="6"/>
      <c r="E183" s="5"/>
      <c r="F183" s="7" t="str">
        <f>IF(AND(A183&lt;&gt;"",B183&lt;&gt;"",C183&lt;&gt;"",D183&lt;&gt;""),LEFT(A183,2)&amp;LEFT(B183,4)&amp;LEFT(C183,2)&amp;SUBSTITUTE(UPPER(D183),"Ú","U"),"")</f>
        <v/>
      </c>
      <c r="G183" s="7" t="str">
        <f>IFERROR(INDEX(Modelos!$B$2:$B$301,MATCH($B183,Modelos!$C$2:$C$301,0))&amp;"","")</f>
        <v/>
      </c>
      <c r="H183" s="7" t="str">
        <f>IFERROR(INDEX(Modelos!$D$2:$D$301,MATCH($B183,Modelos!$C$2:$C$301,0))&amp;"","")</f>
        <v/>
      </c>
      <c r="I183" s="7" t="str">
        <f>IFERROR(INDEX(Modelos!$E$2:$E$301,MATCH($B183,Modelos!$C$2:$C$301,0))&amp;"","")</f>
        <v/>
      </c>
      <c r="J183" s="7" t="str">
        <f>IFERROR(INDEX(Modelos!$F$2:$F$301,MATCH($B183,Modelos!$C$2:$C$301,0))&amp;"","")</f>
        <v/>
      </c>
      <c r="K183" s="7" t="str">
        <f>IFERROR(INDEX(Modelos!$G$2:$G$301,MATCH($B183,Modelos!$C$2:$C$301,0))&amp;"","")</f>
        <v/>
      </c>
      <c r="L183" s="7" t="str">
        <f>IFERROR(INDEX(Diccionarios!$G$2:$G$201,MATCH($C183,Diccionarios!$H$2:$H$201,0))&amp;"","")</f>
        <v/>
      </c>
      <c r="M183" s="7" t="str">
        <f>IF(D183="","",D183&amp;"")</f>
        <v/>
      </c>
      <c r="N183" s="8" t="str">
        <f>IF($B183="","",IFERROR(INDEX(Modelos!$H$2:$H$301,MATCH($B183,Modelos!$C$2:$C$301,0)),""))</f>
        <v/>
      </c>
      <c r="O183" s="8" t="str">
        <f>IF($B183="","",IFERROR(INDEX(Modelos!$I$2:$I$301,MATCH($B183,Modelos!$C$2:$C$301,0)),""))</f>
        <v/>
      </c>
      <c r="P183" s="8" t="str">
        <f>IF($B183="","",IFERROR(INDEX(Modelos!$J$2:$J$301,MATCH($B183,Modelos!$C$2:$C$301,0)),""))</f>
        <v/>
      </c>
      <c r="Q183" s="7" t="str">
        <f>IFERROR(INDEX(Diccionarios!$B$2:$B$201,MATCH($A183,Diccionarios!$D$2:$D$201,0))&amp;"","")</f>
        <v/>
      </c>
      <c r="R183" s="7" t="str">
        <f>IFERROR(INDEX(Diccionarios!$C$2:$C$201,MATCH($A183,Diccionarios!$D$2:$D$201,0))&amp;"","")</f>
        <v/>
      </c>
      <c r="S183" s="7" t="str">
        <f>IFERROR(INDEX(Modelos!$K$2:$K$301,MATCH($B183,Modelos!$C$2:$C$301,0))&amp;"","")</f>
        <v/>
      </c>
      <c r="T183" s="7" t="str">
        <f>IFERROR(INDEX(Modelos!$L$2:$L$301,MATCH($B183,Modelos!$C$2:$C$301,0))&amp;"","")</f>
        <v/>
      </c>
    </row>
    <row r="184" spans="1:20" x14ac:dyDescent="0.25">
      <c r="A184" s="5"/>
      <c r="B184" s="5"/>
      <c r="C184" s="5"/>
      <c r="D184" s="6"/>
      <c r="E184" s="5"/>
      <c r="F184" s="7" t="str">
        <f>IF(AND(A184&lt;&gt;"",B184&lt;&gt;"",C184&lt;&gt;"",D184&lt;&gt;""),LEFT(A184,2)&amp;LEFT(B184,4)&amp;LEFT(C184,2)&amp;SUBSTITUTE(UPPER(D184),"Ú","U"),"")</f>
        <v/>
      </c>
      <c r="G184" s="7" t="str">
        <f>IFERROR(INDEX(Modelos!$B$2:$B$301,MATCH($B184,Modelos!$C$2:$C$301,0))&amp;"","")</f>
        <v/>
      </c>
      <c r="H184" s="7" t="str">
        <f>IFERROR(INDEX(Modelos!$D$2:$D$301,MATCH($B184,Modelos!$C$2:$C$301,0))&amp;"","")</f>
        <v/>
      </c>
      <c r="I184" s="7" t="str">
        <f>IFERROR(INDEX(Modelos!$E$2:$E$301,MATCH($B184,Modelos!$C$2:$C$301,0))&amp;"","")</f>
        <v/>
      </c>
      <c r="J184" s="7" t="str">
        <f>IFERROR(INDEX(Modelos!$F$2:$F$301,MATCH($B184,Modelos!$C$2:$C$301,0))&amp;"","")</f>
        <v/>
      </c>
      <c r="K184" s="7" t="str">
        <f>IFERROR(INDEX(Modelos!$G$2:$G$301,MATCH($B184,Modelos!$C$2:$C$301,0))&amp;"","")</f>
        <v/>
      </c>
      <c r="L184" s="7" t="str">
        <f>IFERROR(INDEX(Diccionarios!$G$2:$G$201,MATCH($C184,Diccionarios!$H$2:$H$201,0))&amp;"","")</f>
        <v/>
      </c>
      <c r="M184" s="7" t="str">
        <f>IF(D184="","",D184&amp;"")</f>
        <v/>
      </c>
      <c r="N184" s="8" t="str">
        <f>IF($B184="","",IFERROR(INDEX(Modelos!$H$2:$H$301,MATCH($B184,Modelos!$C$2:$C$301,0)),""))</f>
        <v/>
      </c>
      <c r="O184" s="8" t="str">
        <f>IF($B184="","",IFERROR(INDEX(Modelos!$I$2:$I$301,MATCH($B184,Modelos!$C$2:$C$301,0)),""))</f>
        <v/>
      </c>
      <c r="P184" s="8" t="str">
        <f>IF($B184="","",IFERROR(INDEX(Modelos!$J$2:$J$301,MATCH($B184,Modelos!$C$2:$C$301,0)),""))</f>
        <v/>
      </c>
      <c r="Q184" s="7" t="str">
        <f>IFERROR(INDEX(Diccionarios!$B$2:$B$201,MATCH($A184,Diccionarios!$D$2:$D$201,0))&amp;"","")</f>
        <v/>
      </c>
      <c r="R184" s="7" t="str">
        <f>IFERROR(INDEX(Diccionarios!$C$2:$C$201,MATCH($A184,Diccionarios!$D$2:$D$201,0))&amp;"","")</f>
        <v/>
      </c>
      <c r="S184" s="7" t="str">
        <f>IFERROR(INDEX(Modelos!$K$2:$K$301,MATCH($B184,Modelos!$C$2:$C$301,0))&amp;"","")</f>
        <v/>
      </c>
      <c r="T184" s="7" t="str">
        <f>IFERROR(INDEX(Modelos!$L$2:$L$301,MATCH($B184,Modelos!$C$2:$C$301,0))&amp;"","")</f>
        <v/>
      </c>
    </row>
    <row r="185" spans="1:20" x14ac:dyDescent="0.25">
      <c r="A185" s="5"/>
      <c r="B185" s="5"/>
      <c r="C185" s="5"/>
      <c r="D185" s="6"/>
      <c r="E185" s="5"/>
      <c r="F185" s="7" t="str">
        <f>IF(AND(A185&lt;&gt;"",B185&lt;&gt;"",C185&lt;&gt;"",D185&lt;&gt;""),LEFT(A185,2)&amp;LEFT(B185,4)&amp;LEFT(C185,2)&amp;SUBSTITUTE(UPPER(D185),"Ú","U"),"")</f>
        <v/>
      </c>
      <c r="G185" s="7" t="str">
        <f>IFERROR(INDEX(Modelos!$B$2:$B$301,MATCH($B185,Modelos!$C$2:$C$301,0))&amp;"","")</f>
        <v/>
      </c>
      <c r="H185" s="7" t="str">
        <f>IFERROR(INDEX(Modelos!$D$2:$D$301,MATCH($B185,Modelos!$C$2:$C$301,0))&amp;"","")</f>
        <v/>
      </c>
      <c r="I185" s="7" t="str">
        <f>IFERROR(INDEX(Modelos!$E$2:$E$301,MATCH($B185,Modelos!$C$2:$C$301,0))&amp;"","")</f>
        <v/>
      </c>
      <c r="J185" s="7" t="str">
        <f>IFERROR(INDEX(Modelos!$F$2:$F$301,MATCH($B185,Modelos!$C$2:$C$301,0))&amp;"","")</f>
        <v/>
      </c>
      <c r="K185" s="7" t="str">
        <f>IFERROR(INDEX(Modelos!$G$2:$G$301,MATCH($B185,Modelos!$C$2:$C$301,0))&amp;"","")</f>
        <v/>
      </c>
      <c r="L185" s="7" t="str">
        <f>IFERROR(INDEX(Diccionarios!$G$2:$G$201,MATCH($C185,Diccionarios!$H$2:$H$201,0))&amp;"","")</f>
        <v/>
      </c>
      <c r="M185" s="7" t="str">
        <f>IF(D185="","",D185&amp;"")</f>
        <v/>
      </c>
      <c r="N185" s="8" t="str">
        <f>IF($B185="","",IFERROR(INDEX(Modelos!$H$2:$H$301,MATCH($B185,Modelos!$C$2:$C$301,0)),""))</f>
        <v/>
      </c>
      <c r="O185" s="8" t="str">
        <f>IF($B185="","",IFERROR(INDEX(Modelos!$I$2:$I$301,MATCH($B185,Modelos!$C$2:$C$301,0)),""))</f>
        <v/>
      </c>
      <c r="P185" s="8" t="str">
        <f>IF($B185="","",IFERROR(INDEX(Modelos!$J$2:$J$301,MATCH($B185,Modelos!$C$2:$C$301,0)),""))</f>
        <v/>
      </c>
      <c r="Q185" s="7" t="str">
        <f>IFERROR(INDEX(Diccionarios!$B$2:$B$201,MATCH($A185,Diccionarios!$D$2:$D$201,0))&amp;"","")</f>
        <v/>
      </c>
      <c r="R185" s="7" t="str">
        <f>IFERROR(INDEX(Diccionarios!$C$2:$C$201,MATCH($A185,Diccionarios!$D$2:$D$201,0))&amp;"","")</f>
        <v/>
      </c>
      <c r="S185" s="7" t="str">
        <f>IFERROR(INDEX(Modelos!$K$2:$K$301,MATCH($B185,Modelos!$C$2:$C$301,0))&amp;"","")</f>
        <v/>
      </c>
      <c r="T185" s="7" t="str">
        <f>IFERROR(INDEX(Modelos!$L$2:$L$301,MATCH($B185,Modelos!$C$2:$C$301,0))&amp;"","")</f>
        <v/>
      </c>
    </row>
    <row r="186" spans="1:20" x14ac:dyDescent="0.25">
      <c r="A186" s="5"/>
      <c r="B186" s="5"/>
      <c r="C186" s="5"/>
      <c r="D186" s="6"/>
      <c r="E186" s="5"/>
      <c r="F186" s="7" t="str">
        <f>IF(AND(A186&lt;&gt;"",B186&lt;&gt;"",C186&lt;&gt;"",D186&lt;&gt;""),LEFT(A186,2)&amp;LEFT(B186,4)&amp;LEFT(C186,2)&amp;SUBSTITUTE(UPPER(D186),"Ú","U"),"")</f>
        <v/>
      </c>
      <c r="G186" s="7" t="str">
        <f>IFERROR(INDEX(Modelos!$B$2:$B$301,MATCH($B186,Modelos!$C$2:$C$301,0))&amp;"","")</f>
        <v/>
      </c>
      <c r="H186" s="7" t="str">
        <f>IFERROR(INDEX(Modelos!$D$2:$D$301,MATCH($B186,Modelos!$C$2:$C$301,0))&amp;"","")</f>
        <v/>
      </c>
      <c r="I186" s="7" t="str">
        <f>IFERROR(INDEX(Modelos!$E$2:$E$301,MATCH($B186,Modelos!$C$2:$C$301,0))&amp;"","")</f>
        <v/>
      </c>
      <c r="J186" s="7" t="str">
        <f>IFERROR(INDEX(Modelos!$F$2:$F$301,MATCH($B186,Modelos!$C$2:$C$301,0))&amp;"","")</f>
        <v/>
      </c>
      <c r="K186" s="7" t="str">
        <f>IFERROR(INDEX(Modelos!$G$2:$G$301,MATCH($B186,Modelos!$C$2:$C$301,0))&amp;"","")</f>
        <v/>
      </c>
      <c r="L186" s="7" t="str">
        <f>IFERROR(INDEX(Diccionarios!$G$2:$G$201,MATCH($C186,Diccionarios!$H$2:$H$201,0))&amp;"","")</f>
        <v/>
      </c>
      <c r="M186" s="7" t="str">
        <f>IF(D186="","",D186&amp;"")</f>
        <v/>
      </c>
      <c r="N186" s="8" t="str">
        <f>IF($B186="","",IFERROR(INDEX(Modelos!$H$2:$H$301,MATCH($B186,Modelos!$C$2:$C$301,0)),""))</f>
        <v/>
      </c>
      <c r="O186" s="8" t="str">
        <f>IF($B186="","",IFERROR(INDEX(Modelos!$I$2:$I$301,MATCH($B186,Modelos!$C$2:$C$301,0)),""))</f>
        <v/>
      </c>
      <c r="P186" s="8" t="str">
        <f>IF($B186="","",IFERROR(INDEX(Modelos!$J$2:$J$301,MATCH($B186,Modelos!$C$2:$C$301,0)),""))</f>
        <v/>
      </c>
      <c r="Q186" s="7" t="str">
        <f>IFERROR(INDEX(Diccionarios!$B$2:$B$201,MATCH($A186,Diccionarios!$D$2:$D$201,0))&amp;"","")</f>
        <v/>
      </c>
      <c r="R186" s="7" t="str">
        <f>IFERROR(INDEX(Diccionarios!$C$2:$C$201,MATCH($A186,Diccionarios!$D$2:$D$201,0))&amp;"","")</f>
        <v/>
      </c>
      <c r="S186" s="7" t="str">
        <f>IFERROR(INDEX(Modelos!$K$2:$K$301,MATCH($B186,Modelos!$C$2:$C$301,0))&amp;"","")</f>
        <v/>
      </c>
      <c r="T186" s="7" t="str">
        <f>IFERROR(INDEX(Modelos!$L$2:$L$301,MATCH($B186,Modelos!$C$2:$C$301,0))&amp;"","")</f>
        <v/>
      </c>
    </row>
    <row r="187" spans="1:20" x14ac:dyDescent="0.25">
      <c r="A187" s="5"/>
      <c r="B187" s="5"/>
      <c r="C187" s="5"/>
      <c r="D187" s="6"/>
      <c r="E187" s="5"/>
      <c r="F187" s="7" t="str">
        <f>IF(AND(A187&lt;&gt;"",B187&lt;&gt;"",C187&lt;&gt;"",D187&lt;&gt;""),LEFT(A187,2)&amp;LEFT(B187,4)&amp;LEFT(C187,2)&amp;SUBSTITUTE(UPPER(D187),"Ú","U"),"")</f>
        <v/>
      </c>
      <c r="G187" s="7" t="str">
        <f>IFERROR(INDEX(Modelos!$B$2:$B$301,MATCH($B187,Modelos!$C$2:$C$301,0))&amp;"","")</f>
        <v/>
      </c>
      <c r="H187" s="7" t="str">
        <f>IFERROR(INDEX(Modelos!$D$2:$D$301,MATCH($B187,Modelos!$C$2:$C$301,0))&amp;"","")</f>
        <v/>
      </c>
      <c r="I187" s="7" t="str">
        <f>IFERROR(INDEX(Modelos!$E$2:$E$301,MATCH($B187,Modelos!$C$2:$C$301,0))&amp;"","")</f>
        <v/>
      </c>
      <c r="J187" s="7" t="str">
        <f>IFERROR(INDEX(Modelos!$F$2:$F$301,MATCH($B187,Modelos!$C$2:$C$301,0))&amp;"","")</f>
        <v/>
      </c>
      <c r="K187" s="7" t="str">
        <f>IFERROR(INDEX(Modelos!$G$2:$G$301,MATCH($B187,Modelos!$C$2:$C$301,0))&amp;"","")</f>
        <v/>
      </c>
      <c r="L187" s="7" t="str">
        <f>IFERROR(INDEX(Diccionarios!$G$2:$G$201,MATCH($C187,Diccionarios!$H$2:$H$201,0))&amp;"","")</f>
        <v/>
      </c>
      <c r="M187" s="7" t="str">
        <f>IF(D187="","",D187&amp;"")</f>
        <v/>
      </c>
      <c r="N187" s="8" t="str">
        <f>IF($B187="","",IFERROR(INDEX(Modelos!$H$2:$H$301,MATCH($B187,Modelos!$C$2:$C$301,0)),""))</f>
        <v/>
      </c>
      <c r="O187" s="8" t="str">
        <f>IF($B187="","",IFERROR(INDEX(Modelos!$I$2:$I$301,MATCH($B187,Modelos!$C$2:$C$301,0)),""))</f>
        <v/>
      </c>
      <c r="P187" s="8" t="str">
        <f>IF($B187="","",IFERROR(INDEX(Modelos!$J$2:$J$301,MATCH($B187,Modelos!$C$2:$C$301,0)),""))</f>
        <v/>
      </c>
      <c r="Q187" s="7" t="str">
        <f>IFERROR(INDEX(Diccionarios!$B$2:$B$201,MATCH($A187,Diccionarios!$D$2:$D$201,0))&amp;"","")</f>
        <v/>
      </c>
      <c r="R187" s="7" t="str">
        <f>IFERROR(INDEX(Diccionarios!$C$2:$C$201,MATCH($A187,Diccionarios!$D$2:$D$201,0))&amp;"","")</f>
        <v/>
      </c>
      <c r="S187" s="7" t="str">
        <f>IFERROR(INDEX(Modelos!$K$2:$K$301,MATCH($B187,Modelos!$C$2:$C$301,0))&amp;"","")</f>
        <v/>
      </c>
      <c r="T187" s="7" t="str">
        <f>IFERROR(INDEX(Modelos!$L$2:$L$301,MATCH($B187,Modelos!$C$2:$C$301,0))&amp;"","")</f>
        <v/>
      </c>
    </row>
    <row r="188" spans="1:20" x14ac:dyDescent="0.25">
      <c r="A188" s="5"/>
      <c r="B188" s="5"/>
      <c r="C188" s="5"/>
      <c r="D188" s="6"/>
      <c r="E188" s="5"/>
      <c r="F188" s="7" t="str">
        <f>IF(AND(A188&lt;&gt;"",B188&lt;&gt;"",C188&lt;&gt;"",D188&lt;&gt;""),LEFT(A188,2)&amp;LEFT(B188,4)&amp;LEFT(C188,2)&amp;SUBSTITUTE(UPPER(D188),"Ú","U"),"")</f>
        <v/>
      </c>
      <c r="G188" s="7" t="str">
        <f>IFERROR(INDEX(Modelos!$B$2:$B$301,MATCH($B188,Modelos!$C$2:$C$301,0))&amp;"","")</f>
        <v/>
      </c>
      <c r="H188" s="7" t="str">
        <f>IFERROR(INDEX(Modelos!$D$2:$D$301,MATCH($B188,Modelos!$C$2:$C$301,0))&amp;"","")</f>
        <v/>
      </c>
      <c r="I188" s="7" t="str">
        <f>IFERROR(INDEX(Modelos!$E$2:$E$301,MATCH($B188,Modelos!$C$2:$C$301,0))&amp;"","")</f>
        <v/>
      </c>
      <c r="J188" s="7" t="str">
        <f>IFERROR(INDEX(Modelos!$F$2:$F$301,MATCH($B188,Modelos!$C$2:$C$301,0))&amp;"","")</f>
        <v/>
      </c>
      <c r="K188" s="7" t="str">
        <f>IFERROR(INDEX(Modelos!$G$2:$G$301,MATCH($B188,Modelos!$C$2:$C$301,0))&amp;"","")</f>
        <v/>
      </c>
      <c r="L188" s="7" t="str">
        <f>IFERROR(INDEX(Diccionarios!$G$2:$G$201,MATCH($C188,Diccionarios!$H$2:$H$201,0))&amp;"","")</f>
        <v/>
      </c>
      <c r="M188" s="7" t="str">
        <f>IF(D188="","",D188&amp;"")</f>
        <v/>
      </c>
      <c r="N188" s="8" t="str">
        <f>IF($B188="","",IFERROR(INDEX(Modelos!$H$2:$H$301,MATCH($B188,Modelos!$C$2:$C$301,0)),""))</f>
        <v/>
      </c>
      <c r="O188" s="8" t="str">
        <f>IF($B188="","",IFERROR(INDEX(Modelos!$I$2:$I$301,MATCH($B188,Modelos!$C$2:$C$301,0)),""))</f>
        <v/>
      </c>
      <c r="P188" s="8" t="str">
        <f>IF($B188="","",IFERROR(INDEX(Modelos!$J$2:$J$301,MATCH($B188,Modelos!$C$2:$C$301,0)),""))</f>
        <v/>
      </c>
      <c r="Q188" s="7" t="str">
        <f>IFERROR(INDEX(Diccionarios!$B$2:$B$201,MATCH($A188,Diccionarios!$D$2:$D$201,0))&amp;"","")</f>
        <v/>
      </c>
      <c r="R188" s="7" t="str">
        <f>IFERROR(INDEX(Diccionarios!$C$2:$C$201,MATCH($A188,Diccionarios!$D$2:$D$201,0))&amp;"","")</f>
        <v/>
      </c>
      <c r="S188" s="7" t="str">
        <f>IFERROR(INDEX(Modelos!$K$2:$K$301,MATCH($B188,Modelos!$C$2:$C$301,0))&amp;"","")</f>
        <v/>
      </c>
      <c r="T188" s="7" t="str">
        <f>IFERROR(INDEX(Modelos!$L$2:$L$301,MATCH($B188,Modelos!$C$2:$C$301,0))&amp;"","")</f>
        <v/>
      </c>
    </row>
    <row r="189" spans="1:20" x14ac:dyDescent="0.25">
      <c r="A189" s="5"/>
      <c r="B189" s="5"/>
      <c r="C189" s="5"/>
      <c r="D189" s="6"/>
      <c r="E189" s="5"/>
      <c r="F189" s="7" t="str">
        <f>IF(AND(A189&lt;&gt;"",B189&lt;&gt;"",C189&lt;&gt;"",D189&lt;&gt;""),LEFT(A189,2)&amp;LEFT(B189,4)&amp;LEFT(C189,2)&amp;SUBSTITUTE(UPPER(D189),"Ú","U"),"")</f>
        <v/>
      </c>
      <c r="G189" s="7" t="str">
        <f>IFERROR(INDEX(Modelos!$B$2:$B$301,MATCH($B189,Modelos!$C$2:$C$301,0))&amp;"","")</f>
        <v/>
      </c>
      <c r="H189" s="7" t="str">
        <f>IFERROR(INDEX(Modelos!$D$2:$D$301,MATCH($B189,Modelos!$C$2:$C$301,0))&amp;"","")</f>
        <v/>
      </c>
      <c r="I189" s="7" t="str">
        <f>IFERROR(INDEX(Modelos!$E$2:$E$301,MATCH($B189,Modelos!$C$2:$C$301,0))&amp;"","")</f>
        <v/>
      </c>
      <c r="J189" s="7" t="str">
        <f>IFERROR(INDEX(Modelos!$F$2:$F$301,MATCH($B189,Modelos!$C$2:$C$301,0))&amp;"","")</f>
        <v/>
      </c>
      <c r="K189" s="7" t="str">
        <f>IFERROR(INDEX(Modelos!$G$2:$G$301,MATCH($B189,Modelos!$C$2:$C$301,0))&amp;"","")</f>
        <v/>
      </c>
      <c r="L189" s="7" t="str">
        <f>IFERROR(INDEX(Diccionarios!$G$2:$G$201,MATCH($C189,Diccionarios!$H$2:$H$201,0))&amp;"","")</f>
        <v/>
      </c>
      <c r="M189" s="7" t="str">
        <f>IF(D189="","",D189&amp;"")</f>
        <v/>
      </c>
      <c r="N189" s="8" t="str">
        <f>IF($B189="","",IFERROR(INDEX(Modelos!$H$2:$H$301,MATCH($B189,Modelos!$C$2:$C$301,0)),""))</f>
        <v/>
      </c>
      <c r="O189" s="8" t="str">
        <f>IF($B189="","",IFERROR(INDEX(Modelos!$I$2:$I$301,MATCH($B189,Modelos!$C$2:$C$301,0)),""))</f>
        <v/>
      </c>
      <c r="P189" s="8" t="str">
        <f>IF($B189="","",IFERROR(INDEX(Modelos!$J$2:$J$301,MATCH($B189,Modelos!$C$2:$C$301,0)),""))</f>
        <v/>
      </c>
      <c r="Q189" s="7" t="str">
        <f>IFERROR(INDEX(Diccionarios!$B$2:$B$201,MATCH($A189,Diccionarios!$D$2:$D$201,0))&amp;"","")</f>
        <v/>
      </c>
      <c r="R189" s="7" t="str">
        <f>IFERROR(INDEX(Diccionarios!$C$2:$C$201,MATCH($A189,Diccionarios!$D$2:$D$201,0))&amp;"","")</f>
        <v/>
      </c>
      <c r="S189" s="7" t="str">
        <f>IFERROR(INDEX(Modelos!$K$2:$K$301,MATCH($B189,Modelos!$C$2:$C$301,0))&amp;"","")</f>
        <v/>
      </c>
      <c r="T189" s="7" t="str">
        <f>IFERROR(INDEX(Modelos!$L$2:$L$301,MATCH($B189,Modelos!$C$2:$C$301,0))&amp;"","")</f>
        <v/>
      </c>
    </row>
    <row r="190" spans="1:20" x14ac:dyDescent="0.25">
      <c r="A190" s="5"/>
      <c r="B190" s="5"/>
      <c r="C190" s="5"/>
      <c r="D190" s="6"/>
      <c r="E190" s="5"/>
      <c r="F190" s="7" t="str">
        <f>IF(AND(A190&lt;&gt;"",B190&lt;&gt;"",C190&lt;&gt;"",D190&lt;&gt;""),LEFT(A190,2)&amp;LEFT(B190,4)&amp;LEFT(C190,2)&amp;SUBSTITUTE(UPPER(D190),"Ú","U"),"")</f>
        <v/>
      </c>
      <c r="G190" s="7" t="str">
        <f>IFERROR(INDEX(Modelos!$B$2:$B$301,MATCH($B190,Modelos!$C$2:$C$301,0))&amp;"","")</f>
        <v/>
      </c>
      <c r="H190" s="7" t="str">
        <f>IFERROR(INDEX(Modelos!$D$2:$D$301,MATCH($B190,Modelos!$C$2:$C$301,0))&amp;"","")</f>
        <v/>
      </c>
      <c r="I190" s="7" t="str">
        <f>IFERROR(INDEX(Modelos!$E$2:$E$301,MATCH($B190,Modelos!$C$2:$C$301,0))&amp;"","")</f>
        <v/>
      </c>
      <c r="J190" s="7" t="str">
        <f>IFERROR(INDEX(Modelos!$F$2:$F$301,MATCH($B190,Modelos!$C$2:$C$301,0))&amp;"","")</f>
        <v/>
      </c>
      <c r="K190" s="7" t="str">
        <f>IFERROR(INDEX(Modelos!$G$2:$G$301,MATCH($B190,Modelos!$C$2:$C$301,0))&amp;"","")</f>
        <v/>
      </c>
      <c r="L190" s="7" t="str">
        <f>IFERROR(INDEX(Diccionarios!$G$2:$G$201,MATCH($C190,Diccionarios!$H$2:$H$201,0))&amp;"","")</f>
        <v/>
      </c>
      <c r="M190" s="7" t="str">
        <f>IF(D190="","",D190&amp;"")</f>
        <v/>
      </c>
      <c r="N190" s="8" t="str">
        <f>IF($B190="","",IFERROR(INDEX(Modelos!$H$2:$H$301,MATCH($B190,Modelos!$C$2:$C$301,0)),""))</f>
        <v/>
      </c>
      <c r="O190" s="8" t="str">
        <f>IF($B190="","",IFERROR(INDEX(Modelos!$I$2:$I$301,MATCH($B190,Modelos!$C$2:$C$301,0)),""))</f>
        <v/>
      </c>
      <c r="P190" s="8" t="str">
        <f>IF($B190="","",IFERROR(INDEX(Modelos!$J$2:$J$301,MATCH($B190,Modelos!$C$2:$C$301,0)),""))</f>
        <v/>
      </c>
      <c r="Q190" s="7" t="str">
        <f>IFERROR(INDEX(Diccionarios!$B$2:$B$201,MATCH($A190,Diccionarios!$D$2:$D$201,0))&amp;"","")</f>
        <v/>
      </c>
      <c r="R190" s="7" t="str">
        <f>IFERROR(INDEX(Diccionarios!$C$2:$C$201,MATCH($A190,Diccionarios!$D$2:$D$201,0))&amp;"","")</f>
        <v/>
      </c>
      <c r="S190" s="7" t="str">
        <f>IFERROR(INDEX(Modelos!$K$2:$K$301,MATCH($B190,Modelos!$C$2:$C$301,0))&amp;"","")</f>
        <v/>
      </c>
      <c r="T190" s="7" t="str">
        <f>IFERROR(INDEX(Modelos!$L$2:$L$301,MATCH($B190,Modelos!$C$2:$C$301,0))&amp;"","")</f>
        <v/>
      </c>
    </row>
    <row r="191" spans="1:20" x14ac:dyDescent="0.25">
      <c r="A191" s="5"/>
      <c r="B191" s="5"/>
      <c r="C191" s="5"/>
      <c r="D191" s="6"/>
      <c r="E191" s="5"/>
      <c r="F191" s="7" t="str">
        <f>IF(AND(A191&lt;&gt;"",B191&lt;&gt;"",C191&lt;&gt;"",D191&lt;&gt;""),LEFT(A191,2)&amp;LEFT(B191,4)&amp;LEFT(C191,2)&amp;SUBSTITUTE(UPPER(D191),"Ú","U"),"")</f>
        <v/>
      </c>
      <c r="G191" s="7" t="str">
        <f>IFERROR(INDEX(Modelos!$B$2:$B$301,MATCH($B191,Modelos!$C$2:$C$301,0))&amp;"","")</f>
        <v/>
      </c>
      <c r="H191" s="7" t="str">
        <f>IFERROR(INDEX(Modelos!$D$2:$D$301,MATCH($B191,Modelos!$C$2:$C$301,0))&amp;"","")</f>
        <v/>
      </c>
      <c r="I191" s="7" t="str">
        <f>IFERROR(INDEX(Modelos!$E$2:$E$301,MATCH($B191,Modelos!$C$2:$C$301,0))&amp;"","")</f>
        <v/>
      </c>
      <c r="J191" s="7" t="str">
        <f>IFERROR(INDEX(Modelos!$F$2:$F$301,MATCH($B191,Modelos!$C$2:$C$301,0))&amp;"","")</f>
        <v/>
      </c>
      <c r="K191" s="7" t="str">
        <f>IFERROR(INDEX(Modelos!$G$2:$G$301,MATCH($B191,Modelos!$C$2:$C$301,0))&amp;"","")</f>
        <v/>
      </c>
      <c r="L191" s="7" t="str">
        <f>IFERROR(INDEX(Diccionarios!$G$2:$G$201,MATCH($C191,Diccionarios!$H$2:$H$201,0))&amp;"","")</f>
        <v/>
      </c>
      <c r="M191" s="7" t="str">
        <f>IF(D191="","",D191&amp;"")</f>
        <v/>
      </c>
      <c r="N191" s="8" t="str">
        <f>IF($B191="","",IFERROR(INDEX(Modelos!$H$2:$H$301,MATCH($B191,Modelos!$C$2:$C$301,0)),""))</f>
        <v/>
      </c>
      <c r="O191" s="8" t="str">
        <f>IF($B191="","",IFERROR(INDEX(Modelos!$I$2:$I$301,MATCH($B191,Modelos!$C$2:$C$301,0)),""))</f>
        <v/>
      </c>
      <c r="P191" s="8" t="str">
        <f>IF($B191="","",IFERROR(INDEX(Modelos!$J$2:$J$301,MATCH($B191,Modelos!$C$2:$C$301,0)),""))</f>
        <v/>
      </c>
      <c r="Q191" s="7" t="str">
        <f>IFERROR(INDEX(Diccionarios!$B$2:$B$201,MATCH($A191,Diccionarios!$D$2:$D$201,0))&amp;"","")</f>
        <v/>
      </c>
      <c r="R191" s="7" t="str">
        <f>IFERROR(INDEX(Diccionarios!$C$2:$C$201,MATCH($A191,Diccionarios!$D$2:$D$201,0))&amp;"","")</f>
        <v/>
      </c>
      <c r="S191" s="7" t="str">
        <f>IFERROR(INDEX(Modelos!$K$2:$K$301,MATCH($B191,Modelos!$C$2:$C$301,0))&amp;"","")</f>
        <v/>
      </c>
      <c r="T191" s="7" t="str">
        <f>IFERROR(INDEX(Modelos!$L$2:$L$301,MATCH($B191,Modelos!$C$2:$C$301,0))&amp;"","")</f>
        <v/>
      </c>
    </row>
    <row r="192" spans="1:20" x14ac:dyDescent="0.25">
      <c r="A192" s="5"/>
      <c r="B192" s="5"/>
      <c r="C192" s="5"/>
      <c r="D192" s="6"/>
      <c r="E192" s="5"/>
      <c r="F192" s="7" t="str">
        <f>IF(AND(A192&lt;&gt;"",B192&lt;&gt;"",C192&lt;&gt;"",D192&lt;&gt;""),LEFT(A192,2)&amp;LEFT(B192,4)&amp;LEFT(C192,2)&amp;SUBSTITUTE(UPPER(D192),"Ú","U"),"")</f>
        <v/>
      </c>
      <c r="G192" s="7" t="str">
        <f>IFERROR(INDEX(Modelos!$B$2:$B$301,MATCH($B192,Modelos!$C$2:$C$301,0))&amp;"","")</f>
        <v/>
      </c>
      <c r="H192" s="7" t="str">
        <f>IFERROR(INDEX(Modelos!$D$2:$D$301,MATCH($B192,Modelos!$C$2:$C$301,0))&amp;"","")</f>
        <v/>
      </c>
      <c r="I192" s="7" t="str">
        <f>IFERROR(INDEX(Modelos!$E$2:$E$301,MATCH($B192,Modelos!$C$2:$C$301,0))&amp;"","")</f>
        <v/>
      </c>
      <c r="J192" s="7" t="str">
        <f>IFERROR(INDEX(Modelos!$F$2:$F$301,MATCH($B192,Modelos!$C$2:$C$301,0))&amp;"","")</f>
        <v/>
      </c>
      <c r="K192" s="7" t="str">
        <f>IFERROR(INDEX(Modelos!$G$2:$G$301,MATCH($B192,Modelos!$C$2:$C$301,0))&amp;"","")</f>
        <v/>
      </c>
      <c r="L192" s="7" t="str">
        <f>IFERROR(INDEX(Diccionarios!$G$2:$G$201,MATCH($C192,Diccionarios!$H$2:$H$201,0))&amp;"","")</f>
        <v/>
      </c>
      <c r="M192" s="7" t="str">
        <f>IF(D192="","",D192&amp;"")</f>
        <v/>
      </c>
      <c r="N192" s="8" t="str">
        <f>IF($B192="","",IFERROR(INDEX(Modelos!$H$2:$H$301,MATCH($B192,Modelos!$C$2:$C$301,0)),""))</f>
        <v/>
      </c>
      <c r="O192" s="8" t="str">
        <f>IF($B192="","",IFERROR(INDEX(Modelos!$I$2:$I$301,MATCH($B192,Modelos!$C$2:$C$301,0)),""))</f>
        <v/>
      </c>
      <c r="P192" s="8" t="str">
        <f>IF($B192="","",IFERROR(INDEX(Modelos!$J$2:$J$301,MATCH($B192,Modelos!$C$2:$C$301,0)),""))</f>
        <v/>
      </c>
      <c r="Q192" s="7" t="str">
        <f>IFERROR(INDEX(Diccionarios!$B$2:$B$201,MATCH($A192,Diccionarios!$D$2:$D$201,0))&amp;"","")</f>
        <v/>
      </c>
      <c r="R192" s="7" t="str">
        <f>IFERROR(INDEX(Diccionarios!$C$2:$C$201,MATCH($A192,Diccionarios!$D$2:$D$201,0))&amp;"","")</f>
        <v/>
      </c>
      <c r="S192" s="7" t="str">
        <f>IFERROR(INDEX(Modelos!$K$2:$K$301,MATCH($B192,Modelos!$C$2:$C$301,0))&amp;"","")</f>
        <v/>
      </c>
      <c r="T192" s="7" t="str">
        <f>IFERROR(INDEX(Modelos!$L$2:$L$301,MATCH($B192,Modelos!$C$2:$C$301,0))&amp;"","")</f>
        <v/>
      </c>
    </row>
    <row r="193" spans="1:20" x14ac:dyDescent="0.25">
      <c r="A193" s="5"/>
      <c r="B193" s="5"/>
      <c r="C193" s="5"/>
      <c r="D193" s="6"/>
      <c r="E193" s="5"/>
      <c r="F193" s="7" t="str">
        <f>IF(AND(A193&lt;&gt;"",B193&lt;&gt;"",C193&lt;&gt;"",D193&lt;&gt;""),LEFT(A193,2)&amp;LEFT(B193,4)&amp;LEFT(C193,2)&amp;SUBSTITUTE(UPPER(D193),"Ú","U"),"")</f>
        <v/>
      </c>
      <c r="G193" s="7" t="str">
        <f>IFERROR(INDEX(Modelos!$B$2:$B$301,MATCH($B193,Modelos!$C$2:$C$301,0))&amp;"","")</f>
        <v/>
      </c>
      <c r="H193" s="7" t="str">
        <f>IFERROR(INDEX(Modelos!$D$2:$D$301,MATCH($B193,Modelos!$C$2:$C$301,0))&amp;"","")</f>
        <v/>
      </c>
      <c r="I193" s="7" t="str">
        <f>IFERROR(INDEX(Modelos!$E$2:$E$301,MATCH($B193,Modelos!$C$2:$C$301,0))&amp;"","")</f>
        <v/>
      </c>
      <c r="J193" s="7" t="str">
        <f>IFERROR(INDEX(Modelos!$F$2:$F$301,MATCH($B193,Modelos!$C$2:$C$301,0))&amp;"","")</f>
        <v/>
      </c>
      <c r="K193" s="7" t="str">
        <f>IFERROR(INDEX(Modelos!$G$2:$G$301,MATCH($B193,Modelos!$C$2:$C$301,0))&amp;"","")</f>
        <v/>
      </c>
      <c r="L193" s="7" t="str">
        <f>IFERROR(INDEX(Diccionarios!$G$2:$G$201,MATCH($C193,Diccionarios!$H$2:$H$201,0))&amp;"","")</f>
        <v/>
      </c>
      <c r="M193" s="7" t="str">
        <f>IF(D193="","",D193&amp;"")</f>
        <v/>
      </c>
      <c r="N193" s="8" t="str">
        <f>IF($B193="","",IFERROR(INDEX(Modelos!$H$2:$H$301,MATCH($B193,Modelos!$C$2:$C$301,0)),""))</f>
        <v/>
      </c>
      <c r="O193" s="8" t="str">
        <f>IF($B193="","",IFERROR(INDEX(Modelos!$I$2:$I$301,MATCH($B193,Modelos!$C$2:$C$301,0)),""))</f>
        <v/>
      </c>
      <c r="P193" s="8" t="str">
        <f>IF($B193="","",IFERROR(INDEX(Modelos!$J$2:$J$301,MATCH($B193,Modelos!$C$2:$C$301,0)),""))</f>
        <v/>
      </c>
      <c r="Q193" s="7" t="str">
        <f>IFERROR(INDEX(Diccionarios!$B$2:$B$201,MATCH($A193,Diccionarios!$D$2:$D$201,0))&amp;"","")</f>
        <v/>
      </c>
      <c r="R193" s="7" t="str">
        <f>IFERROR(INDEX(Diccionarios!$C$2:$C$201,MATCH($A193,Diccionarios!$D$2:$D$201,0))&amp;"","")</f>
        <v/>
      </c>
      <c r="S193" s="7" t="str">
        <f>IFERROR(INDEX(Modelos!$K$2:$K$301,MATCH($B193,Modelos!$C$2:$C$301,0))&amp;"","")</f>
        <v/>
      </c>
      <c r="T193" s="7" t="str">
        <f>IFERROR(INDEX(Modelos!$L$2:$L$301,MATCH($B193,Modelos!$C$2:$C$301,0))&amp;"","")</f>
        <v/>
      </c>
    </row>
    <row r="194" spans="1:20" x14ac:dyDescent="0.25">
      <c r="A194" s="5"/>
      <c r="B194" s="5"/>
      <c r="C194" s="5"/>
      <c r="D194" s="6"/>
      <c r="E194" s="5"/>
      <c r="F194" s="7" t="str">
        <f>IF(AND(A194&lt;&gt;"",B194&lt;&gt;"",C194&lt;&gt;"",D194&lt;&gt;""),LEFT(A194,2)&amp;LEFT(B194,4)&amp;LEFT(C194,2)&amp;SUBSTITUTE(UPPER(D194),"Ú","U"),"")</f>
        <v/>
      </c>
      <c r="G194" s="7" t="str">
        <f>IFERROR(INDEX(Modelos!$B$2:$B$301,MATCH($B194,Modelos!$C$2:$C$301,0))&amp;"","")</f>
        <v/>
      </c>
      <c r="H194" s="7" t="str">
        <f>IFERROR(INDEX(Modelos!$D$2:$D$301,MATCH($B194,Modelos!$C$2:$C$301,0))&amp;"","")</f>
        <v/>
      </c>
      <c r="I194" s="7" t="str">
        <f>IFERROR(INDEX(Modelos!$E$2:$E$301,MATCH($B194,Modelos!$C$2:$C$301,0))&amp;"","")</f>
        <v/>
      </c>
      <c r="J194" s="7" t="str">
        <f>IFERROR(INDEX(Modelos!$F$2:$F$301,MATCH($B194,Modelos!$C$2:$C$301,0))&amp;"","")</f>
        <v/>
      </c>
      <c r="K194" s="7" t="str">
        <f>IFERROR(INDEX(Modelos!$G$2:$G$301,MATCH($B194,Modelos!$C$2:$C$301,0))&amp;"","")</f>
        <v/>
      </c>
      <c r="L194" s="7" t="str">
        <f>IFERROR(INDEX(Diccionarios!$G$2:$G$201,MATCH($C194,Diccionarios!$H$2:$H$201,0))&amp;"","")</f>
        <v/>
      </c>
      <c r="M194" s="7" t="str">
        <f>IF(D194="","",D194&amp;"")</f>
        <v/>
      </c>
      <c r="N194" s="8" t="str">
        <f>IF($B194="","",IFERROR(INDEX(Modelos!$H$2:$H$301,MATCH($B194,Modelos!$C$2:$C$301,0)),""))</f>
        <v/>
      </c>
      <c r="O194" s="8" t="str">
        <f>IF($B194="","",IFERROR(INDEX(Modelos!$I$2:$I$301,MATCH($B194,Modelos!$C$2:$C$301,0)),""))</f>
        <v/>
      </c>
      <c r="P194" s="8" t="str">
        <f>IF($B194="","",IFERROR(INDEX(Modelos!$J$2:$J$301,MATCH($B194,Modelos!$C$2:$C$301,0)),""))</f>
        <v/>
      </c>
      <c r="Q194" s="7" t="str">
        <f>IFERROR(INDEX(Diccionarios!$B$2:$B$201,MATCH($A194,Diccionarios!$D$2:$D$201,0))&amp;"","")</f>
        <v/>
      </c>
      <c r="R194" s="7" t="str">
        <f>IFERROR(INDEX(Diccionarios!$C$2:$C$201,MATCH($A194,Diccionarios!$D$2:$D$201,0))&amp;"","")</f>
        <v/>
      </c>
      <c r="S194" s="7" t="str">
        <f>IFERROR(INDEX(Modelos!$K$2:$K$301,MATCH($B194,Modelos!$C$2:$C$301,0))&amp;"","")</f>
        <v/>
      </c>
      <c r="T194" s="7" t="str">
        <f>IFERROR(INDEX(Modelos!$L$2:$L$301,MATCH($B194,Modelos!$C$2:$C$301,0))&amp;"","")</f>
        <v/>
      </c>
    </row>
    <row r="195" spans="1:20" x14ac:dyDescent="0.25">
      <c r="A195" s="5"/>
      <c r="B195" s="5"/>
      <c r="C195" s="5"/>
      <c r="D195" s="6"/>
      <c r="E195" s="5"/>
      <c r="F195" s="7" t="str">
        <f>IF(AND(A195&lt;&gt;"",B195&lt;&gt;"",C195&lt;&gt;"",D195&lt;&gt;""),LEFT(A195,2)&amp;LEFT(B195,4)&amp;LEFT(C195,2)&amp;SUBSTITUTE(UPPER(D195),"Ú","U"),"")</f>
        <v/>
      </c>
      <c r="G195" s="7" t="str">
        <f>IFERROR(INDEX(Modelos!$B$2:$B$301,MATCH($B195,Modelos!$C$2:$C$301,0))&amp;"","")</f>
        <v/>
      </c>
      <c r="H195" s="7" t="str">
        <f>IFERROR(INDEX(Modelos!$D$2:$D$301,MATCH($B195,Modelos!$C$2:$C$301,0))&amp;"","")</f>
        <v/>
      </c>
      <c r="I195" s="7" t="str">
        <f>IFERROR(INDEX(Modelos!$E$2:$E$301,MATCH($B195,Modelos!$C$2:$C$301,0))&amp;"","")</f>
        <v/>
      </c>
      <c r="J195" s="7" t="str">
        <f>IFERROR(INDEX(Modelos!$F$2:$F$301,MATCH($B195,Modelos!$C$2:$C$301,0))&amp;"","")</f>
        <v/>
      </c>
      <c r="K195" s="7" t="str">
        <f>IFERROR(INDEX(Modelos!$G$2:$G$301,MATCH($B195,Modelos!$C$2:$C$301,0))&amp;"","")</f>
        <v/>
      </c>
      <c r="L195" s="7" t="str">
        <f>IFERROR(INDEX(Diccionarios!$G$2:$G$201,MATCH($C195,Diccionarios!$H$2:$H$201,0))&amp;"","")</f>
        <v/>
      </c>
      <c r="M195" s="7" t="str">
        <f>IF(D195="","",D195&amp;"")</f>
        <v/>
      </c>
      <c r="N195" s="8" t="str">
        <f>IF($B195="","",IFERROR(INDEX(Modelos!$H$2:$H$301,MATCH($B195,Modelos!$C$2:$C$301,0)),""))</f>
        <v/>
      </c>
      <c r="O195" s="8" t="str">
        <f>IF($B195="","",IFERROR(INDEX(Modelos!$I$2:$I$301,MATCH($B195,Modelos!$C$2:$C$301,0)),""))</f>
        <v/>
      </c>
      <c r="P195" s="8" t="str">
        <f>IF($B195="","",IFERROR(INDEX(Modelos!$J$2:$J$301,MATCH($B195,Modelos!$C$2:$C$301,0)),""))</f>
        <v/>
      </c>
      <c r="Q195" s="7" t="str">
        <f>IFERROR(INDEX(Diccionarios!$B$2:$B$201,MATCH($A195,Diccionarios!$D$2:$D$201,0))&amp;"","")</f>
        <v/>
      </c>
      <c r="R195" s="7" t="str">
        <f>IFERROR(INDEX(Diccionarios!$C$2:$C$201,MATCH($A195,Diccionarios!$D$2:$D$201,0))&amp;"","")</f>
        <v/>
      </c>
      <c r="S195" s="7" t="str">
        <f>IFERROR(INDEX(Modelos!$K$2:$K$301,MATCH($B195,Modelos!$C$2:$C$301,0))&amp;"","")</f>
        <v/>
      </c>
      <c r="T195" s="7" t="str">
        <f>IFERROR(INDEX(Modelos!$L$2:$L$301,MATCH($B195,Modelos!$C$2:$C$301,0))&amp;"","")</f>
        <v/>
      </c>
    </row>
    <row r="196" spans="1:20" x14ac:dyDescent="0.25">
      <c r="A196" s="5"/>
      <c r="B196" s="5"/>
      <c r="C196" s="5"/>
      <c r="D196" s="6"/>
      <c r="E196" s="5"/>
      <c r="F196" s="7" t="str">
        <f>IF(AND(A196&lt;&gt;"",B196&lt;&gt;"",C196&lt;&gt;"",D196&lt;&gt;""),LEFT(A196,2)&amp;LEFT(B196,4)&amp;LEFT(C196,2)&amp;SUBSTITUTE(UPPER(D196),"Ú","U"),"")</f>
        <v/>
      </c>
      <c r="G196" s="7" t="str">
        <f>IFERROR(INDEX(Modelos!$B$2:$B$301,MATCH($B196,Modelos!$C$2:$C$301,0))&amp;"","")</f>
        <v/>
      </c>
      <c r="H196" s="7" t="str">
        <f>IFERROR(INDEX(Modelos!$D$2:$D$301,MATCH($B196,Modelos!$C$2:$C$301,0))&amp;"","")</f>
        <v/>
      </c>
      <c r="I196" s="7" t="str">
        <f>IFERROR(INDEX(Modelos!$E$2:$E$301,MATCH($B196,Modelos!$C$2:$C$301,0))&amp;"","")</f>
        <v/>
      </c>
      <c r="J196" s="7" t="str">
        <f>IFERROR(INDEX(Modelos!$F$2:$F$301,MATCH($B196,Modelos!$C$2:$C$301,0))&amp;"","")</f>
        <v/>
      </c>
      <c r="K196" s="7" t="str">
        <f>IFERROR(INDEX(Modelos!$G$2:$G$301,MATCH($B196,Modelos!$C$2:$C$301,0))&amp;"","")</f>
        <v/>
      </c>
      <c r="L196" s="7" t="str">
        <f>IFERROR(INDEX(Diccionarios!$G$2:$G$201,MATCH($C196,Diccionarios!$H$2:$H$201,0))&amp;"","")</f>
        <v/>
      </c>
      <c r="M196" s="7" t="str">
        <f>IF(D196="","",D196&amp;"")</f>
        <v/>
      </c>
      <c r="N196" s="8" t="str">
        <f>IF($B196="","",IFERROR(INDEX(Modelos!$H$2:$H$301,MATCH($B196,Modelos!$C$2:$C$301,0)),""))</f>
        <v/>
      </c>
      <c r="O196" s="8" t="str">
        <f>IF($B196="","",IFERROR(INDEX(Modelos!$I$2:$I$301,MATCH($B196,Modelos!$C$2:$C$301,0)),""))</f>
        <v/>
      </c>
      <c r="P196" s="8" t="str">
        <f>IF($B196="","",IFERROR(INDEX(Modelos!$J$2:$J$301,MATCH($B196,Modelos!$C$2:$C$301,0)),""))</f>
        <v/>
      </c>
      <c r="Q196" s="7" t="str">
        <f>IFERROR(INDEX(Diccionarios!$B$2:$B$201,MATCH($A196,Diccionarios!$D$2:$D$201,0))&amp;"","")</f>
        <v/>
      </c>
      <c r="R196" s="7" t="str">
        <f>IFERROR(INDEX(Diccionarios!$C$2:$C$201,MATCH($A196,Diccionarios!$D$2:$D$201,0))&amp;"","")</f>
        <v/>
      </c>
      <c r="S196" s="7" t="str">
        <f>IFERROR(INDEX(Modelos!$K$2:$K$301,MATCH($B196,Modelos!$C$2:$C$301,0))&amp;"","")</f>
        <v/>
      </c>
      <c r="T196" s="7" t="str">
        <f>IFERROR(INDEX(Modelos!$L$2:$L$301,MATCH($B196,Modelos!$C$2:$C$301,0))&amp;"","")</f>
        <v/>
      </c>
    </row>
    <row r="197" spans="1:20" x14ac:dyDescent="0.25">
      <c r="A197" s="5"/>
      <c r="B197" s="5"/>
      <c r="C197" s="5"/>
      <c r="D197" s="6"/>
      <c r="E197" s="5"/>
      <c r="F197" s="7" t="str">
        <f>IF(AND(A197&lt;&gt;"",B197&lt;&gt;"",C197&lt;&gt;"",D197&lt;&gt;""),LEFT(A197,2)&amp;LEFT(B197,4)&amp;LEFT(C197,2)&amp;SUBSTITUTE(UPPER(D197),"Ú","U"),"")</f>
        <v/>
      </c>
      <c r="G197" s="7" t="str">
        <f>IFERROR(INDEX(Modelos!$B$2:$B$301,MATCH($B197,Modelos!$C$2:$C$301,0))&amp;"","")</f>
        <v/>
      </c>
      <c r="H197" s="7" t="str">
        <f>IFERROR(INDEX(Modelos!$D$2:$D$301,MATCH($B197,Modelos!$C$2:$C$301,0))&amp;"","")</f>
        <v/>
      </c>
      <c r="I197" s="7" t="str">
        <f>IFERROR(INDEX(Modelos!$E$2:$E$301,MATCH($B197,Modelos!$C$2:$C$301,0))&amp;"","")</f>
        <v/>
      </c>
      <c r="J197" s="7" t="str">
        <f>IFERROR(INDEX(Modelos!$F$2:$F$301,MATCH($B197,Modelos!$C$2:$C$301,0))&amp;"","")</f>
        <v/>
      </c>
      <c r="K197" s="7" t="str">
        <f>IFERROR(INDEX(Modelos!$G$2:$G$301,MATCH($B197,Modelos!$C$2:$C$301,0))&amp;"","")</f>
        <v/>
      </c>
      <c r="L197" s="7" t="str">
        <f>IFERROR(INDEX(Diccionarios!$G$2:$G$201,MATCH($C197,Diccionarios!$H$2:$H$201,0))&amp;"","")</f>
        <v/>
      </c>
      <c r="M197" s="7" t="str">
        <f>IF(D197="","",D197&amp;"")</f>
        <v/>
      </c>
      <c r="N197" s="8" t="str">
        <f>IF($B197="","",IFERROR(INDEX(Modelos!$H$2:$H$301,MATCH($B197,Modelos!$C$2:$C$301,0)),""))</f>
        <v/>
      </c>
      <c r="O197" s="8" t="str">
        <f>IF($B197="","",IFERROR(INDEX(Modelos!$I$2:$I$301,MATCH($B197,Modelos!$C$2:$C$301,0)),""))</f>
        <v/>
      </c>
      <c r="P197" s="8" t="str">
        <f>IF($B197="","",IFERROR(INDEX(Modelos!$J$2:$J$301,MATCH($B197,Modelos!$C$2:$C$301,0)),""))</f>
        <v/>
      </c>
      <c r="Q197" s="7" t="str">
        <f>IFERROR(INDEX(Diccionarios!$B$2:$B$201,MATCH($A197,Diccionarios!$D$2:$D$201,0))&amp;"","")</f>
        <v/>
      </c>
      <c r="R197" s="7" t="str">
        <f>IFERROR(INDEX(Diccionarios!$C$2:$C$201,MATCH($A197,Diccionarios!$D$2:$D$201,0))&amp;"","")</f>
        <v/>
      </c>
      <c r="S197" s="7" t="str">
        <f>IFERROR(INDEX(Modelos!$K$2:$K$301,MATCH($B197,Modelos!$C$2:$C$301,0))&amp;"","")</f>
        <v/>
      </c>
      <c r="T197" s="7" t="str">
        <f>IFERROR(INDEX(Modelos!$L$2:$L$301,MATCH($B197,Modelos!$C$2:$C$301,0))&amp;"","")</f>
        <v/>
      </c>
    </row>
    <row r="198" spans="1:20" x14ac:dyDescent="0.25">
      <c r="A198" s="5"/>
      <c r="B198" s="5"/>
      <c r="C198" s="5"/>
      <c r="D198" s="6"/>
      <c r="E198" s="5"/>
      <c r="F198" s="7" t="str">
        <f>IF(AND(A198&lt;&gt;"",B198&lt;&gt;"",C198&lt;&gt;"",D198&lt;&gt;""),LEFT(A198,2)&amp;LEFT(B198,4)&amp;LEFT(C198,2)&amp;SUBSTITUTE(UPPER(D198),"Ú","U"),"")</f>
        <v/>
      </c>
      <c r="G198" s="7" t="str">
        <f>IFERROR(INDEX(Modelos!$B$2:$B$301,MATCH($B198,Modelos!$C$2:$C$301,0))&amp;"","")</f>
        <v/>
      </c>
      <c r="H198" s="7" t="str">
        <f>IFERROR(INDEX(Modelos!$D$2:$D$301,MATCH($B198,Modelos!$C$2:$C$301,0))&amp;"","")</f>
        <v/>
      </c>
      <c r="I198" s="7" t="str">
        <f>IFERROR(INDEX(Modelos!$E$2:$E$301,MATCH($B198,Modelos!$C$2:$C$301,0))&amp;"","")</f>
        <v/>
      </c>
      <c r="J198" s="7" t="str">
        <f>IFERROR(INDEX(Modelos!$F$2:$F$301,MATCH($B198,Modelos!$C$2:$C$301,0))&amp;"","")</f>
        <v/>
      </c>
      <c r="K198" s="7" t="str">
        <f>IFERROR(INDEX(Modelos!$G$2:$G$301,MATCH($B198,Modelos!$C$2:$C$301,0))&amp;"","")</f>
        <v/>
      </c>
      <c r="L198" s="7" t="str">
        <f>IFERROR(INDEX(Diccionarios!$G$2:$G$201,MATCH($C198,Diccionarios!$H$2:$H$201,0))&amp;"","")</f>
        <v/>
      </c>
      <c r="M198" s="7" t="str">
        <f>IF(D198="","",D198&amp;"")</f>
        <v/>
      </c>
      <c r="N198" s="8" t="str">
        <f>IF($B198="","",IFERROR(INDEX(Modelos!$H$2:$H$301,MATCH($B198,Modelos!$C$2:$C$301,0)),""))</f>
        <v/>
      </c>
      <c r="O198" s="8" t="str">
        <f>IF($B198="","",IFERROR(INDEX(Modelos!$I$2:$I$301,MATCH($B198,Modelos!$C$2:$C$301,0)),""))</f>
        <v/>
      </c>
      <c r="P198" s="8" t="str">
        <f>IF($B198="","",IFERROR(INDEX(Modelos!$J$2:$J$301,MATCH($B198,Modelos!$C$2:$C$301,0)),""))</f>
        <v/>
      </c>
      <c r="Q198" s="7" t="str">
        <f>IFERROR(INDEX(Diccionarios!$B$2:$B$201,MATCH($A198,Diccionarios!$D$2:$D$201,0))&amp;"","")</f>
        <v/>
      </c>
      <c r="R198" s="7" t="str">
        <f>IFERROR(INDEX(Diccionarios!$C$2:$C$201,MATCH($A198,Diccionarios!$D$2:$D$201,0))&amp;"","")</f>
        <v/>
      </c>
      <c r="S198" s="7" t="str">
        <f>IFERROR(INDEX(Modelos!$K$2:$K$301,MATCH($B198,Modelos!$C$2:$C$301,0))&amp;"","")</f>
        <v/>
      </c>
      <c r="T198" s="7" t="str">
        <f>IFERROR(INDEX(Modelos!$L$2:$L$301,MATCH($B198,Modelos!$C$2:$C$301,0))&amp;"","")</f>
        <v/>
      </c>
    </row>
    <row r="199" spans="1:20" x14ac:dyDescent="0.25">
      <c r="A199" s="5"/>
      <c r="B199" s="5"/>
      <c r="C199" s="5"/>
      <c r="D199" s="6"/>
      <c r="E199" s="5"/>
      <c r="F199" s="7" t="str">
        <f>IF(AND(A199&lt;&gt;"",B199&lt;&gt;"",C199&lt;&gt;"",D199&lt;&gt;""),LEFT(A199,2)&amp;LEFT(B199,4)&amp;LEFT(C199,2)&amp;SUBSTITUTE(UPPER(D199),"Ú","U"),"")</f>
        <v/>
      </c>
      <c r="G199" s="7" t="str">
        <f>IFERROR(INDEX(Modelos!$B$2:$B$301,MATCH($B199,Modelos!$C$2:$C$301,0))&amp;"","")</f>
        <v/>
      </c>
      <c r="H199" s="7" t="str">
        <f>IFERROR(INDEX(Modelos!$D$2:$D$301,MATCH($B199,Modelos!$C$2:$C$301,0))&amp;"","")</f>
        <v/>
      </c>
      <c r="I199" s="7" t="str">
        <f>IFERROR(INDEX(Modelos!$E$2:$E$301,MATCH($B199,Modelos!$C$2:$C$301,0))&amp;"","")</f>
        <v/>
      </c>
      <c r="J199" s="7" t="str">
        <f>IFERROR(INDEX(Modelos!$F$2:$F$301,MATCH($B199,Modelos!$C$2:$C$301,0))&amp;"","")</f>
        <v/>
      </c>
      <c r="K199" s="7" t="str">
        <f>IFERROR(INDEX(Modelos!$G$2:$G$301,MATCH($B199,Modelos!$C$2:$C$301,0))&amp;"","")</f>
        <v/>
      </c>
      <c r="L199" s="7" t="str">
        <f>IFERROR(INDEX(Diccionarios!$G$2:$G$201,MATCH($C199,Diccionarios!$H$2:$H$201,0))&amp;"","")</f>
        <v/>
      </c>
      <c r="M199" s="7" t="str">
        <f>IF(D199="","",D199&amp;"")</f>
        <v/>
      </c>
      <c r="N199" s="8" t="str">
        <f>IF($B199="","",IFERROR(INDEX(Modelos!$H$2:$H$301,MATCH($B199,Modelos!$C$2:$C$301,0)),""))</f>
        <v/>
      </c>
      <c r="O199" s="8" t="str">
        <f>IF($B199="","",IFERROR(INDEX(Modelos!$I$2:$I$301,MATCH($B199,Modelos!$C$2:$C$301,0)),""))</f>
        <v/>
      </c>
      <c r="P199" s="8" t="str">
        <f>IF($B199="","",IFERROR(INDEX(Modelos!$J$2:$J$301,MATCH($B199,Modelos!$C$2:$C$301,0)),""))</f>
        <v/>
      </c>
      <c r="Q199" s="7" t="str">
        <f>IFERROR(INDEX(Diccionarios!$B$2:$B$201,MATCH($A199,Diccionarios!$D$2:$D$201,0))&amp;"","")</f>
        <v/>
      </c>
      <c r="R199" s="7" t="str">
        <f>IFERROR(INDEX(Diccionarios!$C$2:$C$201,MATCH($A199,Diccionarios!$D$2:$D$201,0))&amp;"","")</f>
        <v/>
      </c>
      <c r="S199" s="7" t="str">
        <f>IFERROR(INDEX(Modelos!$K$2:$K$301,MATCH($B199,Modelos!$C$2:$C$301,0))&amp;"","")</f>
        <v/>
      </c>
      <c r="T199" s="7" t="str">
        <f>IFERROR(INDEX(Modelos!$L$2:$L$301,MATCH($B199,Modelos!$C$2:$C$301,0))&amp;"","")</f>
        <v/>
      </c>
    </row>
    <row r="200" spans="1:20" x14ac:dyDescent="0.25">
      <c r="A200" s="5"/>
      <c r="B200" s="5"/>
      <c r="C200" s="5"/>
      <c r="D200" s="6"/>
      <c r="E200" s="5"/>
      <c r="F200" s="7" t="str">
        <f>IF(AND(A200&lt;&gt;"",B200&lt;&gt;"",C200&lt;&gt;"",D200&lt;&gt;""),LEFT(A200,2)&amp;LEFT(B200,4)&amp;LEFT(C200,2)&amp;SUBSTITUTE(UPPER(D200),"Ú","U"),"")</f>
        <v/>
      </c>
      <c r="G200" s="7" t="str">
        <f>IFERROR(INDEX(Modelos!$B$2:$B$301,MATCH($B200,Modelos!$C$2:$C$301,0))&amp;"","")</f>
        <v/>
      </c>
      <c r="H200" s="7" t="str">
        <f>IFERROR(INDEX(Modelos!$D$2:$D$301,MATCH($B200,Modelos!$C$2:$C$301,0))&amp;"","")</f>
        <v/>
      </c>
      <c r="I200" s="7" t="str">
        <f>IFERROR(INDEX(Modelos!$E$2:$E$301,MATCH($B200,Modelos!$C$2:$C$301,0))&amp;"","")</f>
        <v/>
      </c>
      <c r="J200" s="7" t="str">
        <f>IFERROR(INDEX(Modelos!$F$2:$F$301,MATCH($B200,Modelos!$C$2:$C$301,0))&amp;"","")</f>
        <v/>
      </c>
      <c r="K200" s="7" t="str">
        <f>IFERROR(INDEX(Modelos!$G$2:$G$301,MATCH($B200,Modelos!$C$2:$C$301,0))&amp;"","")</f>
        <v/>
      </c>
      <c r="L200" s="7" t="str">
        <f>IFERROR(INDEX(Diccionarios!$G$2:$G$201,MATCH($C200,Diccionarios!$H$2:$H$201,0))&amp;"","")</f>
        <v/>
      </c>
      <c r="M200" s="7" t="str">
        <f>IF(D200="","",D200&amp;"")</f>
        <v/>
      </c>
      <c r="N200" s="8" t="str">
        <f>IF($B200="","",IFERROR(INDEX(Modelos!$H$2:$H$301,MATCH($B200,Modelos!$C$2:$C$301,0)),""))</f>
        <v/>
      </c>
      <c r="O200" s="8" t="str">
        <f>IF($B200="","",IFERROR(INDEX(Modelos!$I$2:$I$301,MATCH($B200,Modelos!$C$2:$C$301,0)),""))</f>
        <v/>
      </c>
      <c r="P200" s="8" t="str">
        <f>IF($B200="","",IFERROR(INDEX(Modelos!$J$2:$J$301,MATCH($B200,Modelos!$C$2:$C$301,0)),""))</f>
        <v/>
      </c>
      <c r="Q200" s="7" t="str">
        <f>IFERROR(INDEX(Diccionarios!$B$2:$B$201,MATCH($A200,Diccionarios!$D$2:$D$201,0))&amp;"","")</f>
        <v/>
      </c>
      <c r="R200" s="7" t="str">
        <f>IFERROR(INDEX(Diccionarios!$C$2:$C$201,MATCH($A200,Diccionarios!$D$2:$D$201,0))&amp;"","")</f>
        <v/>
      </c>
      <c r="S200" s="7" t="str">
        <f>IFERROR(INDEX(Modelos!$K$2:$K$301,MATCH($B200,Modelos!$C$2:$C$301,0))&amp;"","")</f>
        <v/>
      </c>
      <c r="T200" s="7" t="str">
        <f>IFERROR(INDEX(Modelos!$L$2:$L$301,MATCH($B200,Modelos!$C$2:$C$301,0))&amp;"","")</f>
        <v/>
      </c>
    </row>
    <row r="201" spans="1:20" x14ac:dyDescent="0.25">
      <c r="A201" s="5"/>
      <c r="B201" s="5"/>
      <c r="C201" s="5"/>
      <c r="D201" s="6"/>
      <c r="E201" s="5"/>
      <c r="F201" s="7" t="str">
        <f>IF(AND(A201&lt;&gt;"",B201&lt;&gt;"",C201&lt;&gt;"",D201&lt;&gt;""),LEFT(A201,2)&amp;LEFT(B201,4)&amp;LEFT(C201,2)&amp;SUBSTITUTE(UPPER(D201),"Ú","U"),"")</f>
        <v/>
      </c>
      <c r="G201" s="7" t="str">
        <f>IFERROR(INDEX(Modelos!$B$2:$B$301,MATCH($B201,Modelos!$C$2:$C$301,0))&amp;"","")</f>
        <v/>
      </c>
      <c r="H201" s="7" t="str">
        <f>IFERROR(INDEX(Modelos!$D$2:$D$301,MATCH($B201,Modelos!$C$2:$C$301,0))&amp;"","")</f>
        <v/>
      </c>
      <c r="I201" s="7" t="str">
        <f>IFERROR(INDEX(Modelos!$E$2:$E$301,MATCH($B201,Modelos!$C$2:$C$301,0))&amp;"","")</f>
        <v/>
      </c>
      <c r="J201" s="7" t="str">
        <f>IFERROR(INDEX(Modelos!$F$2:$F$301,MATCH($B201,Modelos!$C$2:$C$301,0))&amp;"","")</f>
        <v/>
      </c>
      <c r="K201" s="7" t="str">
        <f>IFERROR(INDEX(Modelos!$G$2:$G$301,MATCH($B201,Modelos!$C$2:$C$301,0))&amp;"","")</f>
        <v/>
      </c>
      <c r="L201" s="7" t="str">
        <f>IFERROR(INDEX(Diccionarios!$G$2:$G$201,MATCH($C201,Diccionarios!$H$2:$H$201,0))&amp;"","")</f>
        <v/>
      </c>
      <c r="M201" s="7" t="str">
        <f>IF(D201="","",D201&amp;"")</f>
        <v/>
      </c>
      <c r="N201" s="8" t="str">
        <f>IF($B201="","",IFERROR(INDEX(Modelos!$H$2:$H$301,MATCH($B201,Modelos!$C$2:$C$301,0)),""))</f>
        <v/>
      </c>
      <c r="O201" s="8" t="str">
        <f>IF($B201="","",IFERROR(INDEX(Modelos!$I$2:$I$301,MATCH($B201,Modelos!$C$2:$C$301,0)),""))</f>
        <v/>
      </c>
      <c r="P201" s="8" t="str">
        <f>IF($B201="","",IFERROR(INDEX(Modelos!$J$2:$J$301,MATCH($B201,Modelos!$C$2:$C$301,0)),""))</f>
        <v/>
      </c>
      <c r="Q201" s="7" t="str">
        <f>IFERROR(INDEX(Diccionarios!$B$2:$B$201,MATCH($A201,Diccionarios!$D$2:$D$201,0))&amp;"","")</f>
        <v/>
      </c>
      <c r="R201" s="7" t="str">
        <f>IFERROR(INDEX(Diccionarios!$C$2:$C$201,MATCH($A201,Diccionarios!$D$2:$D$201,0))&amp;"","")</f>
        <v/>
      </c>
      <c r="S201" s="7" t="str">
        <f>IFERROR(INDEX(Modelos!$K$2:$K$301,MATCH($B201,Modelos!$C$2:$C$301,0))&amp;"","")</f>
        <v/>
      </c>
      <c r="T201" s="7" t="str">
        <f>IFERROR(INDEX(Modelos!$L$2:$L$301,MATCH($B201,Modelos!$C$2:$C$301,0))&amp;"","")</f>
        <v/>
      </c>
    </row>
    <row r="202" spans="1:20" x14ac:dyDescent="0.25">
      <c r="A202" s="5"/>
      <c r="B202" s="5"/>
      <c r="C202" s="5"/>
      <c r="D202" s="6"/>
      <c r="E202" s="5"/>
      <c r="F202" s="7" t="str">
        <f>IF(AND(A202&lt;&gt;"",B202&lt;&gt;"",C202&lt;&gt;"",D202&lt;&gt;""),LEFT(A202,2)&amp;LEFT(B202,4)&amp;LEFT(C202,2)&amp;SUBSTITUTE(UPPER(D202),"Ú","U"),"")</f>
        <v/>
      </c>
      <c r="G202" s="7" t="str">
        <f>IFERROR(INDEX(Modelos!$B$2:$B$301,MATCH($B202,Modelos!$C$2:$C$301,0))&amp;"","")</f>
        <v/>
      </c>
      <c r="H202" s="7" t="str">
        <f>IFERROR(INDEX(Modelos!$D$2:$D$301,MATCH($B202,Modelos!$C$2:$C$301,0))&amp;"","")</f>
        <v/>
      </c>
      <c r="I202" s="7" t="str">
        <f>IFERROR(INDEX(Modelos!$E$2:$E$301,MATCH($B202,Modelos!$C$2:$C$301,0))&amp;"","")</f>
        <v/>
      </c>
      <c r="J202" s="7" t="str">
        <f>IFERROR(INDEX(Modelos!$F$2:$F$301,MATCH($B202,Modelos!$C$2:$C$301,0))&amp;"","")</f>
        <v/>
      </c>
      <c r="K202" s="7" t="str">
        <f>IFERROR(INDEX(Modelos!$G$2:$G$301,MATCH($B202,Modelos!$C$2:$C$301,0))&amp;"","")</f>
        <v/>
      </c>
      <c r="L202" s="7" t="str">
        <f>IFERROR(INDEX(Diccionarios!$G$2:$G$201,MATCH($C202,Diccionarios!$H$2:$H$201,0))&amp;"","")</f>
        <v/>
      </c>
      <c r="M202" s="7" t="str">
        <f>IF(D202="","",D202&amp;"")</f>
        <v/>
      </c>
      <c r="N202" s="8" t="str">
        <f>IF($B202="","",IFERROR(INDEX(Modelos!$H$2:$H$301,MATCH($B202,Modelos!$C$2:$C$301,0)),""))</f>
        <v/>
      </c>
      <c r="O202" s="8" t="str">
        <f>IF($B202="","",IFERROR(INDEX(Modelos!$I$2:$I$301,MATCH($B202,Modelos!$C$2:$C$301,0)),""))</f>
        <v/>
      </c>
      <c r="P202" s="8" t="str">
        <f>IF($B202="","",IFERROR(INDEX(Modelos!$J$2:$J$301,MATCH($B202,Modelos!$C$2:$C$301,0)),""))</f>
        <v/>
      </c>
      <c r="Q202" s="7" t="str">
        <f>IFERROR(INDEX(Diccionarios!$B$2:$B$201,MATCH($A202,Diccionarios!$D$2:$D$201,0))&amp;"","")</f>
        <v/>
      </c>
      <c r="R202" s="7" t="str">
        <f>IFERROR(INDEX(Diccionarios!$C$2:$C$201,MATCH($A202,Diccionarios!$D$2:$D$201,0))&amp;"","")</f>
        <v/>
      </c>
      <c r="S202" s="7" t="str">
        <f>IFERROR(INDEX(Modelos!$K$2:$K$301,MATCH($B202,Modelos!$C$2:$C$301,0))&amp;"","")</f>
        <v/>
      </c>
      <c r="T202" s="7" t="str">
        <f>IFERROR(INDEX(Modelos!$L$2:$L$301,MATCH($B202,Modelos!$C$2:$C$301,0))&amp;"","")</f>
        <v/>
      </c>
    </row>
    <row r="203" spans="1:20" x14ac:dyDescent="0.25">
      <c r="A203" s="5"/>
      <c r="B203" s="5"/>
      <c r="C203" s="5"/>
      <c r="D203" s="6"/>
      <c r="E203" s="5"/>
      <c r="F203" s="7" t="str">
        <f>IF(AND(A203&lt;&gt;"",B203&lt;&gt;"",C203&lt;&gt;"",D203&lt;&gt;""),LEFT(A203,2)&amp;LEFT(B203,4)&amp;LEFT(C203,2)&amp;SUBSTITUTE(UPPER(D203),"Ú","U"),"")</f>
        <v/>
      </c>
      <c r="G203" s="7" t="str">
        <f>IFERROR(INDEX(Modelos!$B$2:$B$301,MATCH($B203,Modelos!$C$2:$C$301,0))&amp;"","")</f>
        <v/>
      </c>
      <c r="H203" s="7" t="str">
        <f>IFERROR(INDEX(Modelos!$D$2:$D$301,MATCH($B203,Modelos!$C$2:$C$301,0))&amp;"","")</f>
        <v/>
      </c>
      <c r="I203" s="7" t="str">
        <f>IFERROR(INDEX(Modelos!$E$2:$E$301,MATCH($B203,Modelos!$C$2:$C$301,0))&amp;"","")</f>
        <v/>
      </c>
      <c r="J203" s="7" t="str">
        <f>IFERROR(INDEX(Modelos!$F$2:$F$301,MATCH($B203,Modelos!$C$2:$C$301,0))&amp;"","")</f>
        <v/>
      </c>
      <c r="K203" s="7" t="str">
        <f>IFERROR(INDEX(Modelos!$G$2:$G$301,MATCH($B203,Modelos!$C$2:$C$301,0))&amp;"","")</f>
        <v/>
      </c>
      <c r="L203" s="7" t="str">
        <f>IFERROR(INDEX(Diccionarios!$G$2:$G$201,MATCH($C203,Diccionarios!$H$2:$H$201,0))&amp;"","")</f>
        <v/>
      </c>
      <c r="M203" s="7" t="str">
        <f>IF(D203="","",D203&amp;"")</f>
        <v/>
      </c>
      <c r="N203" s="8" t="str">
        <f>IF($B203="","",IFERROR(INDEX(Modelos!$H$2:$H$301,MATCH($B203,Modelos!$C$2:$C$301,0)),""))</f>
        <v/>
      </c>
      <c r="O203" s="8" t="str">
        <f>IF($B203="","",IFERROR(INDEX(Modelos!$I$2:$I$301,MATCH($B203,Modelos!$C$2:$C$301,0)),""))</f>
        <v/>
      </c>
      <c r="P203" s="8" t="str">
        <f>IF($B203="","",IFERROR(INDEX(Modelos!$J$2:$J$301,MATCH($B203,Modelos!$C$2:$C$301,0)),""))</f>
        <v/>
      </c>
      <c r="Q203" s="7" t="str">
        <f>IFERROR(INDEX(Diccionarios!$B$2:$B$201,MATCH($A203,Diccionarios!$D$2:$D$201,0))&amp;"","")</f>
        <v/>
      </c>
      <c r="R203" s="7" t="str">
        <f>IFERROR(INDEX(Diccionarios!$C$2:$C$201,MATCH($A203,Diccionarios!$D$2:$D$201,0))&amp;"","")</f>
        <v/>
      </c>
      <c r="S203" s="7" t="str">
        <f>IFERROR(INDEX(Modelos!$K$2:$K$301,MATCH($B203,Modelos!$C$2:$C$301,0))&amp;"","")</f>
        <v/>
      </c>
      <c r="T203" s="7" t="str">
        <f>IFERROR(INDEX(Modelos!$L$2:$L$301,MATCH($B203,Modelos!$C$2:$C$301,0))&amp;"","")</f>
        <v/>
      </c>
    </row>
    <row r="204" spans="1:20" x14ac:dyDescent="0.25">
      <c r="A204" s="5"/>
      <c r="B204" s="5"/>
      <c r="C204" s="5"/>
      <c r="D204" s="6"/>
      <c r="E204" s="5"/>
      <c r="F204" s="7" t="str">
        <f>IF(AND(A204&lt;&gt;"",B204&lt;&gt;"",C204&lt;&gt;"",D204&lt;&gt;""),LEFT(A204,2)&amp;LEFT(B204,4)&amp;LEFT(C204,2)&amp;SUBSTITUTE(UPPER(D204),"Ú","U"),"")</f>
        <v/>
      </c>
      <c r="G204" s="7" t="str">
        <f>IFERROR(INDEX(Modelos!$B$2:$B$301,MATCH($B204,Modelos!$C$2:$C$301,0))&amp;"","")</f>
        <v/>
      </c>
      <c r="H204" s="7" t="str">
        <f>IFERROR(INDEX(Modelos!$D$2:$D$301,MATCH($B204,Modelos!$C$2:$C$301,0))&amp;"","")</f>
        <v/>
      </c>
      <c r="I204" s="7" t="str">
        <f>IFERROR(INDEX(Modelos!$E$2:$E$301,MATCH($B204,Modelos!$C$2:$C$301,0))&amp;"","")</f>
        <v/>
      </c>
      <c r="J204" s="7" t="str">
        <f>IFERROR(INDEX(Modelos!$F$2:$F$301,MATCH($B204,Modelos!$C$2:$C$301,0))&amp;"","")</f>
        <v/>
      </c>
      <c r="K204" s="7" t="str">
        <f>IFERROR(INDEX(Modelos!$G$2:$G$301,MATCH($B204,Modelos!$C$2:$C$301,0))&amp;"","")</f>
        <v/>
      </c>
      <c r="L204" s="7" t="str">
        <f>IFERROR(INDEX(Diccionarios!$G$2:$G$201,MATCH($C204,Diccionarios!$H$2:$H$201,0))&amp;"","")</f>
        <v/>
      </c>
      <c r="M204" s="7" t="str">
        <f>IF(D204="","",D204&amp;"")</f>
        <v/>
      </c>
      <c r="N204" s="8" t="str">
        <f>IF($B204="","",IFERROR(INDEX(Modelos!$H$2:$H$301,MATCH($B204,Modelos!$C$2:$C$301,0)),""))</f>
        <v/>
      </c>
      <c r="O204" s="8" t="str">
        <f>IF($B204="","",IFERROR(INDEX(Modelos!$I$2:$I$301,MATCH($B204,Modelos!$C$2:$C$301,0)),""))</f>
        <v/>
      </c>
      <c r="P204" s="8" t="str">
        <f>IF($B204="","",IFERROR(INDEX(Modelos!$J$2:$J$301,MATCH($B204,Modelos!$C$2:$C$301,0)),""))</f>
        <v/>
      </c>
      <c r="Q204" s="7" t="str">
        <f>IFERROR(INDEX(Diccionarios!$B$2:$B$201,MATCH($A204,Diccionarios!$D$2:$D$201,0))&amp;"","")</f>
        <v/>
      </c>
      <c r="R204" s="7" t="str">
        <f>IFERROR(INDEX(Diccionarios!$C$2:$C$201,MATCH($A204,Diccionarios!$D$2:$D$201,0))&amp;"","")</f>
        <v/>
      </c>
      <c r="S204" s="7" t="str">
        <f>IFERROR(INDEX(Modelos!$K$2:$K$301,MATCH($B204,Modelos!$C$2:$C$301,0))&amp;"","")</f>
        <v/>
      </c>
      <c r="T204" s="7" t="str">
        <f>IFERROR(INDEX(Modelos!$L$2:$L$301,MATCH($B204,Modelos!$C$2:$C$301,0))&amp;"","")</f>
        <v/>
      </c>
    </row>
    <row r="205" spans="1:20" x14ac:dyDescent="0.25">
      <c r="A205" s="5"/>
      <c r="B205" s="5"/>
      <c r="C205" s="5"/>
      <c r="D205" s="6"/>
      <c r="E205" s="5"/>
      <c r="F205" s="7" t="str">
        <f>IF(AND(A205&lt;&gt;"",B205&lt;&gt;"",C205&lt;&gt;"",D205&lt;&gt;""),LEFT(A205,2)&amp;LEFT(B205,4)&amp;LEFT(C205,2)&amp;SUBSTITUTE(UPPER(D205),"Ú","U"),"")</f>
        <v/>
      </c>
      <c r="G205" s="7" t="str">
        <f>IFERROR(INDEX(Modelos!$B$2:$B$301,MATCH($B205,Modelos!$C$2:$C$301,0))&amp;"","")</f>
        <v/>
      </c>
      <c r="H205" s="7" t="str">
        <f>IFERROR(INDEX(Modelos!$D$2:$D$301,MATCH($B205,Modelos!$C$2:$C$301,0))&amp;"","")</f>
        <v/>
      </c>
      <c r="I205" s="7" t="str">
        <f>IFERROR(INDEX(Modelos!$E$2:$E$301,MATCH($B205,Modelos!$C$2:$C$301,0))&amp;"","")</f>
        <v/>
      </c>
      <c r="J205" s="7" t="str">
        <f>IFERROR(INDEX(Modelos!$F$2:$F$301,MATCH($B205,Modelos!$C$2:$C$301,0))&amp;"","")</f>
        <v/>
      </c>
      <c r="K205" s="7" t="str">
        <f>IFERROR(INDEX(Modelos!$G$2:$G$301,MATCH($B205,Modelos!$C$2:$C$301,0))&amp;"","")</f>
        <v/>
      </c>
      <c r="L205" s="7" t="str">
        <f>IFERROR(INDEX(Diccionarios!$G$2:$G$201,MATCH($C205,Diccionarios!$H$2:$H$201,0))&amp;"","")</f>
        <v/>
      </c>
      <c r="M205" s="7" t="str">
        <f>IF(D205="","",D205&amp;"")</f>
        <v/>
      </c>
      <c r="N205" s="8" t="str">
        <f>IF($B205="","",IFERROR(INDEX(Modelos!$H$2:$H$301,MATCH($B205,Modelos!$C$2:$C$301,0)),""))</f>
        <v/>
      </c>
      <c r="O205" s="8" t="str">
        <f>IF($B205="","",IFERROR(INDEX(Modelos!$I$2:$I$301,MATCH($B205,Modelos!$C$2:$C$301,0)),""))</f>
        <v/>
      </c>
      <c r="P205" s="8" t="str">
        <f>IF($B205="","",IFERROR(INDEX(Modelos!$J$2:$J$301,MATCH($B205,Modelos!$C$2:$C$301,0)),""))</f>
        <v/>
      </c>
      <c r="Q205" s="7" t="str">
        <f>IFERROR(INDEX(Diccionarios!$B$2:$B$201,MATCH($A205,Diccionarios!$D$2:$D$201,0))&amp;"","")</f>
        <v/>
      </c>
      <c r="R205" s="7" t="str">
        <f>IFERROR(INDEX(Diccionarios!$C$2:$C$201,MATCH($A205,Diccionarios!$D$2:$D$201,0))&amp;"","")</f>
        <v/>
      </c>
      <c r="S205" s="7" t="str">
        <f>IFERROR(INDEX(Modelos!$K$2:$K$301,MATCH($B205,Modelos!$C$2:$C$301,0))&amp;"","")</f>
        <v/>
      </c>
      <c r="T205" s="7" t="str">
        <f>IFERROR(INDEX(Modelos!$L$2:$L$301,MATCH($B205,Modelos!$C$2:$C$301,0))&amp;"","")</f>
        <v/>
      </c>
    </row>
    <row r="206" spans="1:20" x14ac:dyDescent="0.25">
      <c r="A206" s="5"/>
      <c r="B206" s="5"/>
      <c r="C206" s="5"/>
      <c r="D206" s="6"/>
      <c r="E206" s="5"/>
      <c r="F206" s="7" t="str">
        <f>IF(AND(A206&lt;&gt;"",B206&lt;&gt;"",C206&lt;&gt;"",D206&lt;&gt;""),LEFT(A206,2)&amp;LEFT(B206,4)&amp;LEFT(C206,2)&amp;SUBSTITUTE(UPPER(D206),"Ú","U"),"")</f>
        <v/>
      </c>
      <c r="G206" s="7" t="str">
        <f>IFERROR(INDEX(Modelos!$B$2:$B$301,MATCH($B206,Modelos!$C$2:$C$301,0))&amp;"","")</f>
        <v/>
      </c>
      <c r="H206" s="7" t="str">
        <f>IFERROR(INDEX(Modelos!$D$2:$D$301,MATCH($B206,Modelos!$C$2:$C$301,0))&amp;"","")</f>
        <v/>
      </c>
      <c r="I206" s="7" t="str">
        <f>IFERROR(INDEX(Modelos!$E$2:$E$301,MATCH($B206,Modelos!$C$2:$C$301,0))&amp;"","")</f>
        <v/>
      </c>
      <c r="J206" s="7" t="str">
        <f>IFERROR(INDEX(Modelos!$F$2:$F$301,MATCH($B206,Modelos!$C$2:$C$301,0))&amp;"","")</f>
        <v/>
      </c>
      <c r="K206" s="7" t="str">
        <f>IFERROR(INDEX(Modelos!$G$2:$G$301,MATCH($B206,Modelos!$C$2:$C$301,0))&amp;"","")</f>
        <v/>
      </c>
      <c r="L206" s="7" t="str">
        <f>IFERROR(INDEX(Diccionarios!$G$2:$G$201,MATCH($C206,Diccionarios!$H$2:$H$201,0))&amp;"","")</f>
        <v/>
      </c>
      <c r="M206" s="7" t="str">
        <f>IF(D206="","",D206&amp;"")</f>
        <v/>
      </c>
      <c r="N206" s="8" t="str">
        <f>IF($B206="","",IFERROR(INDEX(Modelos!$H$2:$H$301,MATCH($B206,Modelos!$C$2:$C$301,0)),""))</f>
        <v/>
      </c>
      <c r="O206" s="8" t="str">
        <f>IF($B206="","",IFERROR(INDEX(Modelos!$I$2:$I$301,MATCH($B206,Modelos!$C$2:$C$301,0)),""))</f>
        <v/>
      </c>
      <c r="P206" s="8" t="str">
        <f>IF($B206="","",IFERROR(INDEX(Modelos!$J$2:$J$301,MATCH($B206,Modelos!$C$2:$C$301,0)),""))</f>
        <v/>
      </c>
      <c r="Q206" s="7" t="str">
        <f>IFERROR(INDEX(Diccionarios!$B$2:$B$201,MATCH($A206,Diccionarios!$D$2:$D$201,0))&amp;"","")</f>
        <v/>
      </c>
      <c r="R206" s="7" t="str">
        <f>IFERROR(INDEX(Diccionarios!$C$2:$C$201,MATCH($A206,Diccionarios!$D$2:$D$201,0))&amp;"","")</f>
        <v/>
      </c>
      <c r="S206" s="7" t="str">
        <f>IFERROR(INDEX(Modelos!$K$2:$K$301,MATCH($B206,Modelos!$C$2:$C$301,0))&amp;"","")</f>
        <v/>
      </c>
      <c r="T206" s="7" t="str">
        <f>IFERROR(INDEX(Modelos!$L$2:$L$301,MATCH($B206,Modelos!$C$2:$C$301,0))&amp;"","")</f>
        <v/>
      </c>
    </row>
    <row r="207" spans="1:20" x14ac:dyDescent="0.25">
      <c r="A207" s="5"/>
      <c r="B207" s="5"/>
      <c r="C207" s="5"/>
      <c r="D207" s="6"/>
      <c r="E207" s="5"/>
      <c r="F207" s="7" t="str">
        <f>IF(AND(A207&lt;&gt;"",B207&lt;&gt;"",C207&lt;&gt;"",D207&lt;&gt;""),LEFT(A207,2)&amp;LEFT(B207,4)&amp;LEFT(C207,2)&amp;SUBSTITUTE(UPPER(D207),"Ú","U"),"")</f>
        <v/>
      </c>
      <c r="G207" s="7" t="str">
        <f>IFERROR(INDEX(Modelos!$B$2:$B$301,MATCH($B207,Modelos!$C$2:$C$301,0))&amp;"","")</f>
        <v/>
      </c>
      <c r="H207" s="7" t="str">
        <f>IFERROR(INDEX(Modelos!$D$2:$D$301,MATCH($B207,Modelos!$C$2:$C$301,0))&amp;"","")</f>
        <v/>
      </c>
      <c r="I207" s="7" t="str">
        <f>IFERROR(INDEX(Modelos!$E$2:$E$301,MATCH($B207,Modelos!$C$2:$C$301,0))&amp;"","")</f>
        <v/>
      </c>
      <c r="J207" s="7" t="str">
        <f>IFERROR(INDEX(Modelos!$F$2:$F$301,MATCH($B207,Modelos!$C$2:$C$301,0))&amp;"","")</f>
        <v/>
      </c>
      <c r="K207" s="7" t="str">
        <f>IFERROR(INDEX(Modelos!$G$2:$G$301,MATCH($B207,Modelos!$C$2:$C$301,0))&amp;"","")</f>
        <v/>
      </c>
      <c r="L207" s="7" t="str">
        <f>IFERROR(INDEX(Diccionarios!$G$2:$G$201,MATCH($C207,Diccionarios!$H$2:$H$201,0))&amp;"","")</f>
        <v/>
      </c>
      <c r="M207" s="7" t="str">
        <f>IF(D207="","",D207&amp;"")</f>
        <v/>
      </c>
      <c r="N207" s="8" t="str">
        <f>IF($B207="","",IFERROR(INDEX(Modelos!$H$2:$H$301,MATCH($B207,Modelos!$C$2:$C$301,0)),""))</f>
        <v/>
      </c>
      <c r="O207" s="8" t="str">
        <f>IF($B207="","",IFERROR(INDEX(Modelos!$I$2:$I$301,MATCH($B207,Modelos!$C$2:$C$301,0)),""))</f>
        <v/>
      </c>
      <c r="P207" s="8" t="str">
        <f>IF($B207="","",IFERROR(INDEX(Modelos!$J$2:$J$301,MATCH($B207,Modelos!$C$2:$C$301,0)),""))</f>
        <v/>
      </c>
      <c r="Q207" s="7" t="str">
        <f>IFERROR(INDEX(Diccionarios!$B$2:$B$201,MATCH($A207,Diccionarios!$D$2:$D$201,0))&amp;"","")</f>
        <v/>
      </c>
      <c r="R207" s="7" t="str">
        <f>IFERROR(INDEX(Diccionarios!$C$2:$C$201,MATCH($A207,Diccionarios!$D$2:$D$201,0))&amp;"","")</f>
        <v/>
      </c>
      <c r="S207" s="7" t="str">
        <f>IFERROR(INDEX(Modelos!$K$2:$K$301,MATCH($B207,Modelos!$C$2:$C$301,0))&amp;"","")</f>
        <v/>
      </c>
      <c r="T207" s="7" t="str">
        <f>IFERROR(INDEX(Modelos!$L$2:$L$301,MATCH($B207,Modelos!$C$2:$C$301,0))&amp;"","")</f>
        <v/>
      </c>
    </row>
    <row r="208" spans="1:20" x14ac:dyDescent="0.25">
      <c r="A208" s="5"/>
      <c r="B208" s="5"/>
      <c r="C208" s="5"/>
      <c r="D208" s="6"/>
      <c r="E208" s="5"/>
      <c r="F208" s="7" t="str">
        <f>IF(AND(A208&lt;&gt;"",B208&lt;&gt;"",C208&lt;&gt;"",D208&lt;&gt;""),LEFT(A208,2)&amp;LEFT(B208,4)&amp;LEFT(C208,2)&amp;SUBSTITUTE(UPPER(D208),"Ú","U"),"")</f>
        <v/>
      </c>
      <c r="G208" s="7" t="str">
        <f>IFERROR(INDEX(Modelos!$B$2:$B$301,MATCH($B208,Modelos!$C$2:$C$301,0))&amp;"","")</f>
        <v/>
      </c>
      <c r="H208" s="7" t="str">
        <f>IFERROR(INDEX(Modelos!$D$2:$D$301,MATCH($B208,Modelos!$C$2:$C$301,0))&amp;"","")</f>
        <v/>
      </c>
      <c r="I208" s="7" t="str">
        <f>IFERROR(INDEX(Modelos!$E$2:$E$301,MATCH($B208,Modelos!$C$2:$C$301,0))&amp;"","")</f>
        <v/>
      </c>
      <c r="J208" s="7" t="str">
        <f>IFERROR(INDEX(Modelos!$F$2:$F$301,MATCH($B208,Modelos!$C$2:$C$301,0))&amp;"","")</f>
        <v/>
      </c>
      <c r="K208" s="7" t="str">
        <f>IFERROR(INDEX(Modelos!$G$2:$G$301,MATCH($B208,Modelos!$C$2:$C$301,0))&amp;"","")</f>
        <v/>
      </c>
      <c r="L208" s="7" t="str">
        <f>IFERROR(INDEX(Diccionarios!$G$2:$G$201,MATCH($C208,Diccionarios!$H$2:$H$201,0))&amp;"","")</f>
        <v/>
      </c>
      <c r="M208" s="7" t="str">
        <f>IF(D208="","",D208&amp;"")</f>
        <v/>
      </c>
      <c r="N208" s="8" t="str">
        <f>IF($B208="","",IFERROR(INDEX(Modelos!$H$2:$H$301,MATCH($B208,Modelos!$C$2:$C$301,0)),""))</f>
        <v/>
      </c>
      <c r="O208" s="8" t="str">
        <f>IF($B208="","",IFERROR(INDEX(Modelos!$I$2:$I$301,MATCH($B208,Modelos!$C$2:$C$301,0)),""))</f>
        <v/>
      </c>
      <c r="P208" s="8" t="str">
        <f>IF($B208="","",IFERROR(INDEX(Modelos!$J$2:$J$301,MATCH($B208,Modelos!$C$2:$C$301,0)),""))</f>
        <v/>
      </c>
      <c r="Q208" s="7" t="str">
        <f>IFERROR(INDEX(Diccionarios!$B$2:$B$201,MATCH($A208,Diccionarios!$D$2:$D$201,0))&amp;"","")</f>
        <v/>
      </c>
      <c r="R208" s="7" t="str">
        <f>IFERROR(INDEX(Diccionarios!$C$2:$C$201,MATCH($A208,Diccionarios!$D$2:$D$201,0))&amp;"","")</f>
        <v/>
      </c>
      <c r="S208" s="7" t="str">
        <f>IFERROR(INDEX(Modelos!$K$2:$K$301,MATCH($B208,Modelos!$C$2:$C$301,0))&amp;"","")</f>
        <v/>
      </c>
      <c r="T208" s="7" t="str">
        <f>IFERROR(INDEX(Modelos!$L$2:$L$301,MATCH($B208,Modelos!$C$2:$C$301,0))&amp;"","")</f>
        <v/>
      </c>
    </row>
    <row r="209" spans="1:20" x14ac:dyDescent="0.25">
      <c r="A209" s="5"/>
      <c r="B209" s="5"/>
      <c r="C209" s="5"/>
      <c r="D209" s="6"/>
      <c r="E209" s="5"/>
      <c r="F209" s="7" t="str">
        <f>IF(AND(A209&lt;&gt;"",B209&lt;&gt;"",C209&lt;&gt;"",D209&lt;&gt;""),LEFT(A209,2)&amp;LEFT(B209,4)&amp;LEFT(C209,2)&amp;SUBSTITUTE(UPPER(D209),"Ú","U"),"")</f>
        <v/>
      </c>
      <c r="G209" s="7" t="str">
        <f>IFERROR(INDEX(Modelos!$B$2:$B$301,MATCH($B209,Modelos!$C$2:$C$301,0))&amp;"","")</f>
        <v/>
      </c>
      <c r="H209" s="7" t="str">
        <f>IFERROR(INDEX(Modelos!$D$2:$D$301,MATCH($B209,Modelos!$C$2:$C$301,0))&amp;"","")</f>
        <v/>
      </c>
      <c r="I209" s="7" t="str">
        <f>IFERROR(INDEX(Modelos!$E$2:$E$301,MATCH($B209,Modelos!$C$2:$C$301,0))&amp;"","")</f>
        <v/>
      </c>
      <c r="J209" s="7" t="str">
        <f>IFERROR(INDEX(Modelos!$F$2:$F$301,MATCH($B209,Modelos!$C$2:$C$301,0))&amp;"","")</f>
        <v/>
      </c>
      <c r="K209" s="7" t="str">
        <f>IFERROR(INDEX(Modelos!$G$2:$G$301,MATCH($B209,Modelos!$C$2:$C$301,0))&amp;"","")</f>
        <v/>
      </c>
      <c r="L209" s="7" t="str">
        <f>IFERROR(INDEX(Diccionarios!$G$2:$G$201,MATCH($C209,Diccionarios!$H$2:$H$201,0))&amp;"","")</f>
        <v/>
      </c>
      <c r="M209" s="7" t="str">
        <f>IF(D209="","",D209&amp;"")</f>
        <v/>
      </c>
      <c r="N209" s="8" t="str">
        <f>IF($B209="","",IFERROR(INDEX(Modelos!$H$2:$H$301,MATCH($B209,Modelos!$C$2:$C$301,0)),""))</f>
        <v/>
      </c>
      <c r="O209" s="8" t="str">
        <f>IF($B209="","",IFERROR(INDEX(Modelos!$I$2:$I$301,MATCH($B209,Modelos!$C$2:$C$301,0)),""))</f>
        <v/>
      </c>
      <c r="P209" s="8" t="str">
        <f>IF($B209="","",IFERROR(INDEX(Modelos!$J$2:$J$301,MATCH($B209,Modelos!$C$2:$C$301,0)),""))</f>
        <v/>
      </c>
      <c r="Q209" s="7" t="str">
        <f>IFERROR(INDEX(Diccionarios!$B$2:$B$201,MATCH($A209,Diccionarios!$D$2:$D$201,0))&amp;"","")</f>
        <v/>
      </c>
      <c r="R209" s="7" t="str">
        <f>IFERROR(INDEX(Diccionarios!$C$2:$C$201,MATCH($A209,Diccionarios!$D$2:$D$201,0))&amp;"","")</f>
        <v/>
      </c>
      <c r="S209" s="7" t="str">
        <f>IFERROR(INDEX(Modelos!$K$2:$K$301,MATCH($B209,Modelos!$C$2:$C$301,0))&amp;"","")</f>
        <v/>
      </c>
      <c r="T209" s="7" t="str">
        <f>IFERROR(INDEX(Modelos!$L$2:$L$301,MATCH($B209,Modelos!$C$2:$C$301,0))&amp;"","")</f>
        <v/>
      </c>
    </row>
    <row r="210" spans="1:20" x14ac:dyDescent="0.25">
      <c r="A210" s="5"/>
      <c r="B210" s="5"/>
      <c r="C210" s="5"/>
      <c r="D210" s="6"/>
      <c r="E210" s="5"/>
      <c r="F210" s="7" t="str">
        <f>IF(AND(A210&lt;&gt;"",B210&lt;&gt;"",C210&lt;&gt;"",D210&lt;&gt;""),LEFT(A210,2)&amp;LEFT(B210,4)&amp;LEFT(C210,2)&amp;SUBSTITUTE(UPPER(D210),"Ú","U"),"")</f>
        <v/>
      </c>
      <c r="G210" s="7" t="str">
        <f>IFERROR(INDEX(Modelos!$B$2:$B$301,MATCH($B210,Modelos!$C$2:$C$301,0))&amp;"","")</f>
        <v/>
      </c>
      <c r="H210" s="7" t="str">
        <f>IFERROR(INDEX(Modelos!$D$2:$D$301,MATCH($B210,Modelos!$C$2:$C$301,0))&amp;"","")</f>
        <v/>
      </c>
      <c r="I210" s="7" t="str">
        <f>IFERROR(INDEX(Modelos!$E$2:$E$301,MATCH($B210,Modelos!$C$2:$C$301,0))&amp;"","")</f>
        <v/>
      </c>
      <c r="J210" s="7" t="str">
        <f>IFERROR(INDEX(Modelos!$F$2:$F$301,MATCH($B210,Modelos!$C$2:$C$301,0))&amp;"","")</f>
        <v/>
      </c>
      <c r="K210" s="7" t="str">
        <f>IFERROR(INDEX(Modelos!$G$2:$G$301,MATCH($B210,Modelos!$C$2:$C$301,0))&amp;"","")</f>
        <v/>
      </c>
      <c r="L210" s="7" t="str">
        <f>IFERROR(INDEX(Diccionarios!$G$2:$G$201,MATCH($C210,Diccionarios!$H$2:$H$201,0))&amp;"","")</f>
        <v/>
      </c>
      <c r="M210" s="7" t="str">
        <f>IF(D210="","",D210&amp;"")</f>
        <v/>
      </c>
      <c r="N210" s="8" t="str">
        <f>IF($B210="","",IFERROR(INDEX(Modelos!$H$2:$H$301,MATCH($B210,Modelos!$C$2:$C$301,0)),""))</f>
        <v/>
      </c>
      <c r="O210" s="8" t="str">
        <f>IF($B210="","",IFERROR(INDEX(Modelos!$I$2:$I$301,MATCH($B210,Modelos!$C$2:$C$301,0)),""))</f>
        <v/>
      </c>
      <c r="P210" s="8" t="str">
        <f>IF($B210="","",IFERROR(INDEX(Modelos!$J$2:$J$301,MATCH($B210,Modelos!$C$2:$C$301,0)),""))</f>
        <v/>
      </c>
      <c r="Q210" s="7" t="str">
        <f>IFERROR(INDEX(Diccionarios!$B$2:$B$201,MATCH($A210,Diccionarios!$D$2:$D$201,0))&amp;"","")</f>
        <v/>
      </c>
      <c r="R210" s="7" t="str">
        <f>IFERROR(INDEX(Diccionarios!$C$2:$C$201,MATCH($A210,Diccionarios!$D$2:$D$201,0))&amp;"","")</f>
        <v/>
      </c>
      <c r="S210" s="7" t="str">
        <f>IFERROR(INDEX(Modelos!$K$2:$K$301,MATCH($B210,Modelos!$C$2:$C$301,0))&amp;"","")</f>
        <v/>
      </c>
      <c r="T210" s="7" t="str">
        <f>IFERROR(INDEX(Modelos!$L$2:$L$301,MATCH($B210,Modelos!$C$2:$C$301,0))&amp;"","")</f>
        <v/>
      </c>
    </row>
    <row r="211" spans="1:20" x14ac:dyDescent="0.25">
      <c r="A211" s="5"/>
      <c r="B211" s="5"/>
      <c r="C211" s="5"/>
      <c r="D211" s="6"/>
      <c r="E211" s="5"/>
      <c r="F211" s="7" t="str">
        <f>IF(AND(A211&lt;&gt;"",B211&lt;&gt;"",C211&lt;&gt;"",D211&lt;&gt;""),LEFT(A211,2)&amp;LEFT(B211,4)&amp;LEFT(C211,2)&amp;SUBSTITUTE(UPPER(D211),"Ú","U"),"")</f>
        <v/>
      </c>
      <c r="G211" s="7" t="str">
        <f>IFERROR(INDEX(Modelos!$B$2:$B$301,MATCH($B211,Modelos!$C$2:$C$301,0))&amp;"","")</f>
        <v/>
      </c>
      <c r="H211" s="7" t="str">
        <f>IFERROR(INDEX(Modelos!$D$2:$D$301,MATCH($B211,Modelos!$C$2:$C$301,0))&amp;"","")</f>
        <v/>
      </c>
      <c r="I211" s="7" t="str">
        <f>IFERROR(INDEX(Modelos!$E$2:$E$301,MATCH($B211,Modelos!$C$2:$C$301,0))&amp;"","")</f>
        <v/>
      </c>
      <c r="J211" s="7" t="str">
        <f>IFERROR(INDEX(Modelos!$F$2:$F$301,MATCH($B211,Modelos!$C$2:$C$301,0))&amp;"","")</f>
        <v/>
      </c>
      <c r="K211" s="7" t="str">
        <f>IFERROR(INDEX(Modelos!$G$2:$G$301,MATCH($B211,Modelos!$C$2:$C$301,0))&amp;"","")</f>
        <v/>
      </c>
      <c r="L211" s="7" t="str">
        <f>IFERROR(INDEX(Diccionarios!$G$2:$G$201,MATCH($C211,Diccionarios!$H$2:$H$201,0))&amp;"","")</f>
        <v/>
      </c>
      <c r="M211" s="7" t="str">
        <f>IF(D211="","",D211&amp;"")</f>
        <v/>
      </c>
      <c r="N211" s="8" t="str">
        <f>IF($B211="","",IFERROR(INDEX(Modelos!$H$2:$H$301,MATCH($B211,Modelos!$C$2:$C$301,0)),""))</f>
        <v/>
      </c>
      <c r="O211" s="8" t="str">
        <f>IF($B211="","",IFERROR(INDEX(Modelos!$I$2:$I$301,MATCH($B211,Modelos!$C$2:$C$301,0)),""))</f>
        <v/>
      </c>
      <c r="P211" s="8" t="str">
        <f>IF($B211="","",IFERROR(INDEX(Modelos!$J$2:$J$301,MATCH($B211,Modelos!$C$2:$C$301,0)),""))</f>
        <v/>
      </c>
      <c r="Q211" s="7" t="str">
        <f>IFERROR(INDEX(Diccionarios!$B$2:$B$201,MATCH($A211,Diccionarios!$D$2:$D$201,0))&amp;"","")</f>
        <v/>
      </c>
      <c r="R211" s="7" t="str">
        <f>IFERROR(INDEX(Diccionarios!$C$2:$C$201,MATCH($A211,Diccionarios!$D$2:$D$201,0))&amp;"","")</f>
        <v/>
      </c>
      <c r="S211" s="7" t="str">
        <f>IFERROR(INDEX(Modelos!$K$2:$K$301,MATCH($B211,Modelos!$C$2:$C$301,0))&amp;"","")</f>
        <v/>
      </c>
      <c r="T211" s="7" t="str">
        <f>IFERROR(INDEX(Modelos!$L$2:$L$301,MATCH($B211,Modelos!$C$2:$C$301,0))&amp;"","")</f>
        <v/>
      </c>
    </row>
    <row r="212" spans="1:20" x14ac:dyDescent="0.25">
      <c r="A212" s="5"/>
      <c r="B212" s="5"/>
      <c r="C212" s="5"/>
      <c r="D212" s="6"/>
      <c r="E212" s="5"/>
      <c r="F212" s="7" t="str">
        <f>IF(AND(A212&lt;&gt;"",B212&lt;&gt;"",C212&lt;&gt;"",D212&lt;&gt;""),LEFT(A212,2)&amp;LEFT(B212,4)&amp;LEFT(C212,2)&amp;SUBSTITUTE(UPPER(D212),"Ú","U"),"")</f>
        <v/>
      </c>
      <c r="G212" s="7" t="str">
        <f>IFERROR(INDEX(Modelos!$B$2:$B$301,MATCH($B212,Modelos!$C$2:$C$301,0))&amp;"","")</f>
        <v/>
      </c>
      <c r="H212" s="7" t="str">
        <f>IFERROR(INDEX(Modelos!$D$2:$D$301,MATCH($B212,Modelos!$C$2:$C$301,0))&amp;"","")</f>
        <v/>
      </c>
      <c r="I212" s="7" t="str">
        <f>IFERROR(INDEX(Modelos!$E$2:$E$301,MATCH($B212,Modelos!$C$2:$C$301,0))&amp;"","")</f>
        <v/>
      </c>
      <c r="J212" s="7" t="str">
        <f>IFERROR(INDEX(Modelos!$F$2:$F$301,MATCH($B212,Modelos!$C$2:$C$301,0))&amp;"","")</f>
        <v/>
      </c>
      <c r="K212" s="7" t="str">
        <f>IFERROR(INDEX(Modelos!$G$2:$G$301,MATCH($B212,Modelos!$C$2:$C$301,0))&amp;"","")</f>
        <v/>
      </c>
      <c r="L212" s="7" t="str">
        <f>IFERROR(INDEX(Diccionarios!$G$2:$G$201,MATCH($C212,Diccionarios!$H$2:$H$201,0))&amp;"","")</f>
        <v/>
      </c>
      <c r="M212" s="7" t="str">
        <f>IF(D212="","",D212&amp;"")</f>
        <v/>
      </c>
      <c r="N212" s="8" t="str">
        <f>IF($B212="","",IFERROR(INDEX(Modelos!$H$2:$H$301,MATCH($B212,Modelos!$C$2:$C$301,0)),""))</f>
        <v/>
      </c>
      <c r="O212" s="8" t="str">
        <f>IF($B212="","",IFERROR(INDEX(Modelos!$I$2:$I$301,MATCH($B212,Modelos!$C$2:$C$301,0)),""))</f>
        <v/>
      </c>
      <c r="P212" s="8" t="str">
        <f>IF($B212="","",IFERROR(INDEX(Modelos!$J$2:$J$301,MATCH($B212,Modelos!$C$2:$C$301,0)),""))</f>
        <v/>
      </c>
      <c r="Q212" s="7" t="str">
        <f>IFERROR(INDEX(Diccionarios!$B$2:$B$201,MATCH($A212,Diccionarios!$D$2:$D$201,0))&amp;"","")</f>
        <v/>
      </c>
      <c r="R212" s="7" t="str">
        <f>IFERROR(INDEX(Diccionarios!$C$2:$C$201,MATCH($A212,Diccionarios!$D$2:$D$201,0))&amp;"","")</f>
        <v/>
      </c>
      <c r="S212" s="7" t="str">
        <f>IFERROR(INDEX(Modelos!$K$2:$K$301,MATCH($B212,Modelos!$C$2:$C$301,0))&amp;"","")</f>
        <v/>
      </c>
      <c r="T212" s="7" t="str">
        <f>IFERROR(INDEX(Modelos!$L$2:$L$301,MATCH($B212,Modelos!$C$2:$C$301,0))&amp;"","")</f>
        <v/>
      </c>
    </row>
    <row r="213" spans="1:20" x14ac:dyDescent="0.25">
      <c r="A213" s="5"/>
      <c r="B213" s="5"/>
      <c r="C213" s="5"/>
      <c r="D213" s="6"/>
      <c r="E213" s="5"/>
      <c r="F213" s="7" t="str">
        <f>IF(AND(A213&lt;&gt;"",B213&lt;&gt;"",C213&lt;&gt;"",D213&lt;&gt;""),LEFT(A213,2)&amp;LEFT(B213,4)&amp;LEFT(C213,2)&amp;SUBSTITUTE(UPPER(D213),"Ú","U"),"")</f>
        <v/>
      </c>
      <c r="G213" s="7" t="str">
        <f>IFERROR(INDEX(Modelos!$B$2:$B$301,MATCH($B213,Modelos!$C$2:$C$301,0))&amp;"","")</f>
        <v/>
      </c>
      <c r="H213" s="7" t="str">
        <f>IFERROR(INDEX(Modelos!$D$2:$D$301,MATCH($B213,Modelos!$C$2:$C$301,0))&amp;"","")</f>
        <v/>
      </c>
      <c r="I213" s="7" t="str">
        <f>IFERROR(INDEX(Modelos!$E$2:$E$301,MATCH($B213,Modelos!$C$2:$C$301,0))&amp;"","")</f>
        <v/>
      </c>
      <c r="J213" s="7" t="str">
        <f>IFERROR(INDEX(Modelos!$F$2:$F$301,MATCH($B213,Modelos!$C$2:$C$301,0))&amp;"","")</f>
        <v/>
      </c>
      <c r="K213" s="7" t="str">
        <f>IFERROR(INDEX(Modelos!$G$2:$G$301,MATCH($B213,Modelos!$C$2:$C$301,0))&amp;"","")</f>
        <v/>
      </c>
      <c r="L213" s="7" t="str">
        <f>IFERROR(INDEX(Diccionarios!$G$2:$G$201,MATCH($C213,Diccionarios!$H$2:$H$201,0))&amp;"","")</f>
        <v/>
      </c>
      <c r="M213" s="7" t="str">
        <f>IF(D213="","",D213&amp;"")</f>
        <v/>
      </c>
      <c r="N213" s="8" t="str">
        <f>IF($B213="","",IFERROR(INDEX(Modelos!$H$2:$H$301,MATCH($B213,Modelos!$C$2:$C$301,0)),""))</f>
        <v/>
      </c>
      <c r="O213" s="8" t="str">
        <f>IF($B213="","",IFERROR(INDEX(Modelos!$I$2:$I$301,MATCH($B213,Modelos!$C$2:$C$301,0)),""))</f>
        <v/>
      </c>
      <c r="P213" s="8" t="str">
        <f>IF($B213="","",IFERROR(INDEX(Modelos!$J$2:$J$301,MATCH($B213,Modelos!$C$2:$C$301,0)),""))</f>
        <v/>
      </c>
      <c r="Q213" s="7" t="str">
        <f>IFERROR(INDEX(Diccionarios!$B$2:$B$201,MATCH($A213,Diccionarios!$D$2:$D$201,0))&amp;"","")</f>
        <v/>
      </c>
      <c r="R213" s="7" t="str">
        <f>IFERROR(INDEX(Diccionarios!$C$2:$C$201,MATCH($A213,Diccionarios!$D$2:$D$201,0))&amp;"","")</f>
        <v/>
      </c>
      <c r="S213" s="7" t="str">
        <f>IFERROR(INDEX(Modelos!$K$2:$K$301,MATCH($B213,Modelos!$C$2:$C$301,0))&amp;"","")</f>
        <v/>
      </c>
      <c r="T213" s="7" t="str">
        <f>IFERROR(INDEX(Modelos!$L$2:$L$301,MATCH($B213,Modelos!$C$2:$C$301,0))&amp;"","")</f>
        <v/>
      </c>
    </row>
    <row r="214" spans="1:20" x14ac:dyDescent="0.25">
      <c r="A214" s="5"/>
      <c r="B214" s="5"/>
      <c r="C214" s="5"/>
      <c r="D214" s="6"/>
      <c r="E214" s="5"/>
      <c r="F214" s="7" t="str">
        <f>IF(AND(A214&lt;&gt;"",B214&lt;&gt;"",C214&lt;&gt;"",D214&lt;&gt;""),LEFT(A214,2)&amp;LEFT(B214,4)&amp;LEFT(C214,2)&amp;SUBSTITUTE(UPPER(D214),"Ú","U"),"")</f>
        <v/>
      </c>
      <c r="G214" s="7" t="str">
        <f>IFERROR(INDEX(Modelos!$B$2:$B$301,MATCH($B214,Modelos!$C$2:$C$301,0))&amp;"","")</f>
        <v/>
      </c>
      <c r="H214" s="7" t="str">
        <f>IFERROR(INDEX(Modelos!$D$2:$D$301,MATCH($B214,Modelos!$C$2:$C$301,0))&amp;"","")</f>
        <v/>
      </c>
      <c r="I214" s="7" t="str">
        <f>IFERROR(INDEX(Modelos!$E$2:$E$301,MATCH($B214,Modelos!$C$2:$C$301,0))&amp;"","")</f>
        <v/>
      </c>
      <c r="J214" s="7" t="str">
        <f>IFERROR(INDEX(Modelos!$F$2:$F$301,MATCH($B214,Modelos!$C$2:$C$301,0))&amp;"","")</f>
        <v/>
      </c>
      <c r="K214" s="7" t="str">
        <f>IFERROR(INDEX(Modelos!$G$2:$G$301,MATCH($B214,Modelos!$C$2:$C$301,0))&amp;"","")</f>
        <v/>
      </c>
      <c r="L214" s="7" t="str">
        <f>IFERROR(INDEX(Diccionarios!$G$2:$G$201,MATCH($C214,Diccionarios!$H$2:$H$201,0))&amp;"","")</f>
        <v/>
      </c>
      <c r="M214" s="7" t="str">
        <f>IF(D214="","",D214&amp;"")</f>
        <v/>
      </c>
      <c r="N214" s="8" t="str">
        <f>IF($B214="","",IFERROR(INDEX(Modelos!$H$2:$H$301,MATCH($B214,Modelos!$C$2:$C$301,0)),""))</f>
        <v/>
      </c>
      <c r="O214" s="8" t="str">
        <f>IF($B214="","",IFERROR(INDEX(Modelos!$I$2:$I$301,MATCH($B214,Modelos!$C$2:$C$301,0)),""))</f>
        <v/>
      </c>
      <c r="P214" s="8" t="str">
        <f>IF($B214="","",IFERROR(INDEX(Modelos!$J$2:$J$301,MATCH($B214,Modelos!$C$2:$C$301,0)),""))</f>
        <v/>
      </c>
      <c r="Q214" s="7" t="str">
        <f>IFERROR(INDEX(Diccionarios!$B$2:$B$201,MATCH($A214,Diccionarios!$D$2:$D$201,0))&amp;"","")</f>
        <v/>
      </c>
      <c r="R214" s="7" t="str">
        <f>IFERROR(INDEX(Diccionarios!$C$2:$C$201,MATCH($A214,Diccionarios!$D$2:$D$201,0))&amp;"","")</f>
        <v/>
      </c>
      <c r="S214" s="7" t="str">
        <f>IFERROR(INDEX(Modelos!$K$2:$K$301,MATCH($B214,Modelos!$C$2:$C$301,0))&amp;"","")</f>
        <v/>
      </c>
      <c r="T214" s="7" t="str">
        <f>IFERROR(INDEX(Modelos!$L$2:$L$301,MATCH($B214,Modelos!$C$2:$C$301,0))&amp;"","")</f>
        <v/>
      </c>
    </row>
    <row r="215" spans="1:20" x14ac:dyDescent="0.25">
      <c r="A215" s="5"/>
      <c r="B215" s="5"/>
      <c r="C215" s="5"/>
      <c r="D215" s="6"/>
      <c r="E215" s="5"/>
      <c r="F215" s="7" t="str">
        <f>IF(AND(A215&lt;&gt;"",B215&lt;&gt;"",C215&lt;&gt;"",D215&lt;&gt;""),LEFT(A215,2)&amp;LEFT(B215,4)&amp;LEFT(C215,2)&amp;SUBSTITUTE(UPPER(D215),"Ú","U"),"")</f>
        <v/>
      </c>
      <c r="G215" s="7" t="str">
        <f>IFERROR(INDEX(Modelos!$B$2:$B$301,MATCH($B215,Modelos!$C$2:$C$301,0))&amp;"","")</f>
        <v/>
      </c>
      <c r="H215" s="7" t="str">
        <f>IFERROR(INDEX(Modelos!$D$2:$D$301,MATCH($B215,Modelos!$C$2:$C$301,0))&amp;"","")</f>
        <v/>
      </c>
      <c r="I215" s="7" t="str">
        <f>IFERROR(INDEX(Modelos!$E$2:$E$301,MATCH($B215,Modelos!$C$2:$C$301,0))&amp;"","")</f>
        <v/>
      </c>
      <c r="J215" s="7" t="str">
        <f>IFERROR(INDEX(Modelos!$F$2:$F$301,MATCH($B215,Modelos!$C$2:$C$301,0))&amp;"","")</f>
        <v/>
      </c>
      <c r="K215" s="7" t="str">
        <f>IFERROR(INDEX(Modelos!$G$2:$G$301,MATCH($B215,Modelos!$C$2:$C$301,0))&amp;"","")</f>
        <v/>
      </c>
      <c r="L215" s="7" t="str">
        <f>IFERROR(INDEX(Diccionarios!$G$2:$G$201,MATCH($C215,Diccionarios!$H$2:$H$201,0))&amp;"","")</f>
        <v/>
      </c>
      <c r="M215" s="7" t="str">
        <f>IF(D215="","",D215&amp;"")</f>
        <v/>
      </c>
      <c r="N215" s="8" t="str">
        <f>IF($B215="","",IFERROR(INDEX(Modelos!$H$2:$H$301,MATCH($B215,Modelos!$C$2:$C$301,0)),""))</f>
        <v/>
      </c>
      <c r="O215" s="8" t="str">
        <f>IF($B215="","",IFERROR(INDEX(Modelos!$I$2:$I$301,MATCH($B215,Modelos!$C$2:$C$301,0)),""))</f>
        <v/>
      </c>
      <c r="P215" s="8" t="str">
        <f>IF($B215="","",IFERROR(INDEX(Modelos!$J$2:$J$301,MATCH($B215,Modelos!$C$2:$C$301,0)),""))</f>
        <v/>
      </c>
      <c r="Q215" s="7" t="str">
        <f>IFERROR(INDEX(Diccionarios!$B$2:$B$201,MATCH($A215,Diccionarios!$D$2:$D$201,0))&amp;"","")</f>
        <v/>
      </c>
      <c r="R215" s="7" t="str">
        <f>IFERROR(INDEX(Diccionarios!$C$2:$C$201,MATCH($A215,Diccionarios!$D$2:$D$201,0))&amp;"","")</f>
        <v/>
      </c>
      <c r="S215" s="7" t="str">
        <f>IFERROR(INDEX(Modelos!$K$2:$K$301,MATCH($B215,Modelos!$C$2:$C$301,0))&amp;"","")</f>
        <v/>
      </c>
      <c r="T215" s="7" t="str">
        <f>IFERROR(INDEX(Modelos!$L$2:$L$301,MATCH($B215,Modelos!$C$2:$C$301,0))&amp;"","")</f>
        <v/>
      </c>
    </row>
    <row r="216" spans="1:20" x14ac:dyDescent="0.25">
      <c r="A216" s="5"/>
      <c r="B216" s="5"/>
      <c r="C216" s="5"/>
      <c r="D216" s="6"/>
      <c r="E216" s="5"/>
      <c r="F216" s="7" t="str">
        <f>IF(AND(A216&lt;&gt;"",B216&lt;&gt;"",C216&lt;&gt;"",D216&lt;&gt;""),LEFT(A216,2)&amp;LEFT(B216,4)&amp;LEFT(C216,2)&amp;SUBSTITUTE(UPPER(D216),"Ú","U"),"")</f>
        <v/>
      </c>
      <c r="G216" s="7" t="str">
        <f>IFERROR(INDEX(Modelos!$B$2:$B$301,MATCH($B216,Modelos!$C$2:$C$301,0))&amp;"","")</f>
        <v/>
      </c>
      <c r="H216" s="7" t="str">
        <f>IFERROR(INDEX(Modelos!$D$2:$D$301,MATCH($B216,Modelos!$C$2:$C$301,0))&amp;"","")</f>
        <v/>
      </c>
      <c r="I216" s="7" t="str">
        <f>IFERROR(INDEX(Modelos!$E$2:$E$301,MATCH($B216,Modelos!$C$2:$C$301,0))&amp;"","")</f>
        <v/>
      </c>
      <c r="J216" s="7" t="str">
        <f>IFERROR(INDEX(Modelos!$F$2:$F$301,MATCH($B216,Modelos!$C$2:$C$301,0))&amp;"","")</f>
        <v/>
      </c>
      <c r="K216" s="7" t="str">
        <f>IFERROR(INDEX(Modelos!$G$2:$G$301,MATCH($B216,Modelos!$C$2:$C$301,0))&amp;"","")</f>
        <v/>
      </c>
      <c r="L216" s="7" t="str">
        <f>IFERROR(INDEX(Diccionarios!$G$2:$G$201,MATCH($C216,Diccionarios!$H$2:$H$201,0))&amp;"","")</f>
        <v/>
      </c>
      <c r="M216" s="7" t="str">
        <f>IF(D216="","",D216&amp;"")</f>
        <v/>
      </c>
      <c r="N216" s="8" t="str">
        <f>IF($B216="","",IFERROR(INDEX(Modelos!$H$2:$H$301,MATCH($B216,Modelos!$C$2:$C$301,0)),""))</f>
        <v/>
      </c>
      <c r="O216" s="8" t="str">
        <f>IF($B216="","",IFERROR(INDEX(Modelos!$I$2:$I$301,MATCH($B216,Modelos!$C$2:$C$301,0)),""))</f>
        <v/>
      </c>
      <c r="P216" s="8" t="str">
        <f>IF($B216="","",IFERROR(INDEX(Modelos!$J$2:$J$301,MATCH($B216,Modelos!$C$2:$C$301,0)),""))</f>
        <v/>
      </c>
      <c r="Q216" s="7" t="str">
        <f>IFERROR(INDEX(Diccionarios!$B$2:$B$201,MATCH($A216,Diccionarios!$D$2:$D$201,0))&amp;"","")</f>
        <v/>
      </c>
      <c r="R216" s="7" t="str">
        <f>IFERROR(INDEX(Diccionarios!$C$2:$C$201,MATCH($A216,Diccionarios!$D$2:$D$201,0))&amp;"","")</f>
        <v/>
      </c>
      <c r="S216" s="7" t="str">
        <f>IFERROR(INDEX(Modelos!$K$2:$K$301,MATCH($B216,Modelos!$C$2:$C$301,0))&amp;"","")</f>
        <v/>
      </c>
      <c r="T216" s="7" t="str">
        <f>IFERROR(INDEX(Modelos!$L$2:$L$301,MATCH($B216,Modelos!$C$2:$C$301,0))&amp;"","")</f>
        <v/>
      </c>
    </row>
    <row r="217" spans="1:20" x14ac:dyDescent="0.25">
      <c r="A217" s="5"/>
      <c r="B217" s="5"/>
      <c r="C217" s="5"/>
      <c r="D217" s="6"/>
      <c r="E217" s="5"/>
      <c r="F217" s="7" t="str">
        <f>IF(AND(A217&lt;&gt;"",B217&lt;&gt;"",C217&lt;&gt;"",D217&lt;&gt;""),LEFT(A217,2)&amp;LEFT(B217,4)&amp;LEFT(C217,2)&amp;SUBSTITUTE(UPPER(D217),"Ú","U"),"")</f>
        <v/>
      </c>
      <c r="G217" s="7" t="str">
        <f>IFERROR(INDEX(Modelos!$B$2:$B$301,MATCH($B217,Modelos!$C$2:$C$301,0))&amp;"","")</f>
        <v/>
      </c>
      <c r="H217" s="7" t="str">
        <f>IFERROR(INDEX(Modelos!$D$2:$D$301,MATCH($B217,Modelos!$C$2:$C$301,0))&amp;"","")</f>
        <v/>
      </c>
      <c r="I217" s="7" t="str">
        <f>IFERROR(INDEX(Modelos!$E$2:$E$301,MATCH($B217,Modelos!$C$2:$C$301,0))&amp;"","")</f>
        <v/>
      </c>
      <c r="J217" s="7" t="str">
        <f>IFERROR(INDEX(Modelos!$F$2:$F$301,MATCH($B217,Modelos!$C$2:$C$301,0))&amp;"","")</f>
        <v/>
      </c>
      <c r="K217" s="7" t="str">
        <f>IFERROR(INDEX(Modelos!$G$2:$G$301,MATCH($B217,Modelos!$C$2:$C$301,0))&amp;"","")</f>
        <v/>
      </c>
      <c r="L217" s="7" t="str">
        <f>IFERROR(INDEX(Diccionarios!$G$2:$G$201,MATCH($C217,Diccionarios!$H$2:$H$201,0))&amp;"","")</f>
        <v/>
      </c>
      <c r="M217" s="7" t="str">
        <f>IF(D217="","",D217&amp;"")</f>
        <v/>
      </c>
      <c r="N217" s="8" t="str">
        <f>IF($B217="","",IFERROR(INDEX(Modelos!$H$2:$H$301,MATCH($B217,Modelos!$C$2:$C$301,0)),""))</f>
        <v/>
      </c>
      <c r="O217" s="8" t="str">
        <f>IF($B217="","",IFERROR(INDEX(Modelos!$I$2:$I$301,MATCH($B217,Modelos!$C$2:$C$301,0)),""))</f>
        <v/>
      </c>
      <c r="P217" s="8" t="str">
        <f>IF($B217="","",IFERROR(INDEX(Modelos!$J$2:$J$301,MATCH($B217,Modelos!$C$2:$C$301,0)),""))</f>
        <v/>
      </c>
      <c r="Q217" s="7" t="str">
        <f>IFERROR(INDEX(Diccionarios!$B$2:$B$201,MATCH($A217,Diccionarios!$D$2:$D$201,0))&amp;"","")</f>
        <v/>
      </c>
      <c r="R217" s="7" t="str">
        <f>IFERROR(INDEX(Diccionarios!$C$2:$C$201,MATCH($A217,Diccionarios!$D$2:$D$201,0))&amp;"","")</f>
        <v/>
      </c>
      <c r="S217" s="7" t="str">
        <f>IFERROR(INDEX(Modelos!$K$2:$K$301,MATCH($B217,Modelos!$C$2:$C$301,0))&amp;"","")</f>
        <v/>
      </c>
      <c r="T217" s="7" t="str">
        <f>IFERROR(INDEX(Modelos!$L$2:$L$301,MATCH($B217,Modelos!$C$2:$C$301,0))&amp;"","")</f>
        <v/>
      </c>
    </row>
    <row r="218" spans="1:20" x14ac:dyDescent="0.25">
      <c r="A218" s="5"/>
      <c r="B218" s="5"/>
      <c r="C218" s="5"/>
      <c r="D218" s="6"/>
      <c r="E218" s="5"/>
      <c r="F218" s="7" t="str">
        <f>IF(AND(A218&lt;&gt;"",B218&lt;&gt;"",C218&lt;&gt;"",D218&lt;&gt;""),LEFT(A218,2)&amp;LEFT(B218,4)&amp;LEFT(C218,2)&amp;SUBSTITUTE(UPPER(D218),"Ú","U"),"")</f>
        <v/>
      </c>
      <c r="G218" s="7" t="str">
        <f>IFERROR(INDEX(Modelos!$B$2:$B$301,MATCH($B218,Modelos!$C$2:$C$301,0))&amp;"","")</f>
        <v/>
      </c>
      <c r="H218" s="7" t="str">
        <f>IFERROR(INDEX(Modelos!$D$2:$D$301,MATCH($B218,Modelos!$C$2:$C$301,0))&amp;"","")</f>
        <v/>
      </c>
      <c r="I218" s="7" t="str">
        <f>IFERROR(INDEX(Modelos!$E$2:$E$301,MATCH($B218,Modelos!$C$2:$C$301,0))&amp;"","")</f>
        <v/>
      </c>
      <c r="J218" s="7" t="str">
        <f>IFERROR(INDEX(Modelos!$F$2:$F$301,MATCH($B218,Modelos!$C$2:$C$301,0))&amp;"","")</f>
        <v/>
      </c>
      <c r="K218" s="7" t="str">
        <f>IFERROR(INDEX(Modelos!$G$2:$G$301,MATCH($B218,Modelos!$C$2:$C$301,0))&amp;"","")</f>
        <v/>
      </c>
      <c r="L218" s="7" t="str">
        <f>IFERROR(INDEX(Diccionarios!$G$2:$G$201,MATCH($C218,Diccionarios!$H$2:$H$201,0))&amp;"","")</f>
        <v/>
      </c>
      <c r="M218" s="7" t="str">
        <f>IF(D218="","",D218&amp;"")</f>
        <v/>
      </c>
      <c r="N218" s="8" t="str">
        <f>IF($B218="","",IFERROR(INDEX(Modelos!$H$2:$H$301,MATCH($B218,Modelos!$C$2:$C$301,0)),""))</f>
        <v/>
      </c>
      <c r="O218" s="8" t="str">
        <f>IF($B218="","",IFERROR(INDEX(Modelos!$I$2:$I$301,MATCH($B218,Modelos!$C$2:$C$301,0)),""))</f>
        <v/>
      </c>
      <c r="P218" s="8" t="str">
        <f>IF($B218="","",IFERROR(INDEX(Modelos!$J$2:$J$301,MATCH($B218,Modelos!$C$2:$C$301,0)),""))</f>
        <v/>
      </c>
      <c r="Q218" s="7" t="str">
        <f>IFERROR(INDEX(Diccionarios!$B$2:$B$201,MATCH($A218,Diccionarios!$D$2:$D$201,0))&amp;"","")</f>
        <v/>
      </c>
      <c r="R218" s="7" t="str">
        <f>IFERROR(INDEX(Diccionarios!$C$2:$C$201,MATCH($A218,Diccionarios!$D$2:$D$201,0))&amp;"","")</f>
        <v/>
      </c>
      <c r="S218" s="7" t="str">
        <f>IFERROR(INDEX(Modelos!$K$2:$K$301,MATCH($B218,Modelos!$C$2:$C$301,0))&amp;"","")</f>
        <v/>
      </c>
      <c r="T218" s="7" t="str">
        <f>IFERROR(INDEX(Modelos!$L$2:$L$301,MATCH($B218,Modelos!$C$2:$C$301,0))&amp;"","")</f>
        <v/>
      </c>
    </row>
    <row r="219" spans="1:20" x14ac:dyDescent="0.25">
      <c r="A219" s="5"/>
      <c r="B219" s="5"/>
      <c r="C219" s="5"/>
      <c r="D219" s="6"/>
      <c r="E219" s="5"/>
      <c r="F219" s="7" t="str">
        <f>IF(AND(A219&lt;&gt;"",B219&lt;&gt;"",C219&lt;&gt;"",D219&lt;&gt;""),LEFT(A219,2)&amp;LEFT(B219,4)&amp;LEFT(C219,2)&amp;SUBSTITUTE(UPPER(D219),"Ú","U"),"")</f>
        <v/>
      </c>
      <c r="G219" s="7" t="str">
        <f>IFERROR(INDEX(Modelos!$B$2:$B$301,MATCH($B219,Modelos!$C$2:$C$301,0))&amp;"","")</f>
        <v/>
      </c>
      <c r="H219" s="7" t="str">
        <f>IFERROR(INDEX(Modelos!$D$2:$D$301,MATCH($B219,Modelos!$C$2:$C$301,0))&amp;"","")</f>
        <v/>
      </c>
      <c r="I219" s="7" t="str">
        <f>IFERROR(INDEX(Modelos!$E$2:$E$301,MATCH($B219,Modelos!$C$2:$C$301,0))&amp;"","")</f>
        <v/>
      </c>
      <c r="J219" s="7" t="str">
        <f>IFERROR(INDEX(Modelos!$F$2:$F$301,MATCH($B219,Modelos!$C$2:$C$301,0))&amp;"","")</f>
        <v/>
      </c>
      <c r="K219" s="7" t="str">
        <f>IFERROR(INDEX(Modelos!$G$2:$G$301,MATCH($B219,Modelos!$C$2:$C$301,0))&amp;"","")</f>
        <v/>
      </c>
      <c r="L219" s="7" t="str">
        <f>IFERROR(INDEX(Diccionarios!$G$2:$G$201,MATCH($C219,Diccionarios!$H$2:$H$201,0))&amp;"","")</f>
        <v/>
      </c>
      <c r="M219" s="7" t="str">
        <f>IF(D219="","",D219&amp;"")</f>
        <v/>
      </c>
      <c r="N219" s="8" t="str">
        <f>IF($B219="","",IFERROR(INDEX(Modelos!$H$2:$H$301,MATCH($B219,Modelos!$C$2:$C$301,0)),""))</f>
        <v/>
      </c>
      <c r="O219" s="8" t="str">
        <f>IF($B219="","",IFERROR(INDEX(Modelos!$I$2:$I$301,MATCH($B219,Modelos!$C$2:$C$301,0)),""))</f>
        <v/>
      </c>
      <c r="P219" s="8" t="str">
        <f>IF($B219="","",IFERROR(INDEX(Modelos!$J$2:$J$301,MATCH($B219,Modelos!$C$2:$C$301,0)),""))</f>
        <v/>
      </c>
      <c r="Q219" s="7" t="str">
        <f>IFERROR(INDEX(Diccionarios!$B$2:$B$201,MATCH($A219,Diccionarios!$D$2:$D$201,0))&amp;"","")</f>
        <v/>
      </c>
      <c r="R219" s="7" t="str">
        <f>IFERROR(INDEX(Diccionarios!$C$2:$C$201,MATCH($A219,Diccionarios!$D$2:$D$201,0))&amp;"","")</f>
        <v/>
      </c>
      <c r="S219" s="7" t="str">
        <f>IFERROR(INDEX(Modelos!$K$2:$K$301,MATCH($B219,Modelos!$C$2:$C$301,0))&amp;"","")</f>
        <v/>
      </c>
      <c r="T219" s="7" t="str">
        <f>IFERROR(INDEX(Modelos!$L$2:$L$301,MATCH($B219,Modelos!$C$2:$C$301,0))&amp;"","")</f>
        <v/>
      </c>
    </row>
    <row r="220" spans="1:20" x14ac:dyDescent="0.25">
      <c r="A220" s="5"/>
      <c r="B220" s="5"/>
      <c r="C220" s="5"/>
      <c r="D220" s="6"/>
      <c r="E220" s="5"/>
      <c r="F220" s="7" t="str">
        <f>IF(AND(A220&lt;&gt;"",B220&lt;&gt;"",C220&lt;&gt;"",D220&lt;&gt;""),LEFT(A220,2)&amp;LEFT(B220,4)&amp;LEFT(C220,2)&amp;SUBSTITUTE(UPPER(D220),"Ú","U"),"")</f>
        <v/>
      </c>
      <c r="G220" s="7" t="str">
        <f>IFERROR(INDEX(Modelos!$B$2:$B$301,MATCH($B220,Modelos!$C$2:$C$301,0))&amp;"","")</f>
        <v/>
      </c>
      <c r="H220" s="7" t="str">
        <f>IFERROR(INDEX(Modelos!$D$2:$D$301,MATCH($B220,Modelos!$C$2:$C$301,0))&amp;"","")</f>
        <v/>
      </c>
      <c r="I220" s="7" t="str">
        <f>IFERROR(INDEX(Modelos!$E$2:$E$301,MATCH($B220,Modelos!$C$2:$C$301,0))&amp;"","")</f>
        <v/>
      </c>
      <c r="J220" s="7" t="str">
        <f>IFERROR(INDEX(Modelos!$F$2:$F$301,MATCH($B220,Modelos!$C$2:$C$301,0))&amp;"","")</f>
        <v/>
      </c>
      <c r="K220" s="7" t="str">
        <f>IFERROR(INDEX(Modelos!$G$2:$G$301,MATCH($B220,Modelos!$C$2:$C$301,0))&amp;"","")</f>
        <v/>
      </c>
      <c r="L220" s="7" t="str">
        <f>IFERROR(INDEX(Diccionarios!$G$2:$G$201,MATCH($C220,Diccionarios!$H$2:$H$201,0))&amp;"","")</f>
        <v/>
      </c>
      <c r="M220" s="7" t="str">
        <f>IF(D220="","",D220&amp;"")</f>
        <v/>
      </c>
      <c r="N220" s="8" t="str">
        <f>IF($B220="","",IFERROR(INDEX(Modelos!$H$2:$H$301,MATCH($B220,Modelos!$C$2:$C$301,0)),""))</f>
        <v/>
      </c>
      <c r="O220" s="8" t="str">
        <f>IF($B220="","",IFERROR(INDEX(Modelos!$I$2:$I$301,MATCH($B220,Modelos!$C$2:$C$301,0)),""))</f>
        <v/>
      </c>
      <c r="P220" s="8" t="str">
        <f>IF($B220="","",IFERROR(INDEX(Modelos!$J$2:$J$301,MATCH($B220,Modelos!$C$2:$C$301,0)),""))</f>
        <v/>
      </c>
      <c r="Q220" s="7" t="str">
        <f>IFERROR(INDEX(Diccionarios!$B$2:$B$201,MATCH($A220,Diccionarios!$D$2:$D$201,0))&amp;"","")</f>
        <v/>
      </c>
      <c r="R220" s="7" t="str">
        <f>IFERROR(INDEX(Diccionarios!$C$2:$C$201,MATCH($A220,Diccionarios!$D$2:$D$201,0))&amp;"","")</f>
        <v/>
      </c>
      <c r="S220" s="7" t="str">
        <f>IFERROR(INDEX(Modelos!$K$2:$K$301,MATCH($B220,Modelos!$C$2:$C$301,0))&amp;"","")</f>
        <v/>
      </c>
      <c r="T220" s="7" t="str">
        <f>IFERROR(INDEX(Modelos!$L$2:$L$301,MATCH($B220,Modelos!$C$2:$C$301,0))&amp;"","")</f>
        <v/>
      </c>
    </row>
    <row r="221" spans="1:20" x14ac:dyDescent="0.25">
      <c r="A221" s="5"/>
      <c r="B221" s="5"/>
      <c r="C221" s="5"/>
      <c r="D221" s="6"/>
      <c r="E221" s="5"/>
      <c r="F221" s="7" t="str">
        <f>IF(AND(A221&lt;&gt;"",B221&lt;&gt;"",C221&lt;&gt;"",D221&lt;&gt;""),LEFT(A221,2)&amp;LEFT(B221,4)&amp;LEFT(C221,2)&amp;SUBSTITUTE(UPPER(D221),"Ú","U"),"")</f>
        <v/>
      </c>
      <c r="G221" s="7" t="str">
        <f>IFERROR(INDEX(Modelos!$B$2:$B$301,MATCH($B221,Modelos!$C$2:$C$301,0))&amp;"","")</f>
        <v/>
      </c>
      <c r="H221" s="7" t="str">
        <f>IFERROR(INDEX(Modelos!$D$2:$D$301,MATCH($B221,Modelos!$C$2:$C$301,0))&amp;"","")</f>
        <v/>
      </c>
      <c r="I221" s="7" t="str">
        <f>IFERROR(INDEX(Modelos!$E$2:$E$301,MATCH($B221,Modelos!$C$2:$C$301,0))&amp;"","")</f>
        <v/>
      </c>
      <c r="J221" s="7" t="str">
        <f>IFERROR(INDEX(Modelos!$F$2:$F$301,MATCH($B221,Modelos!$C$2:$C$301,0))&amp;"","")</f>
        <v/>
      </c>
      <c r="K221" s="7" t="str">
        <f>IFERROR(INDEX(Modelos!$G$2:$G$301,MATCH($B221,Modelos!$C$2:$C$301,0))&amp;"","")</f>
        <v/>
      </c>
      <c r="L221" s="7" t="str">
        <f>IFERROR(INDEX(Diccionarios!$G$2:$G$201,MATCH($C221,Diccionarios!$H$2:$H$201,0))&amp;"","")</f>
        <v/>
      </c>
      <c r="M221" s="7" t="str">
        <f>IF(D221="","",D221&amp;"")</f>
        <v/>
      </c>
      <c r="N221" s="8" t="str">
        <f>IF($B221="","",IFERROR(INDEX(Modelos!$H$2:$H$301,MATCH($B221,Modelos!$C$2:$C$301,0)),""))</f>
        <v/>
      </c>
      <c r="O221" s="8" t="str">
        <f>IF($B221="","",IFERROR(INDEX(Modelos!$I$2:$I$301,MATCH($B221,Modelos!$C$2:$C$301,0)),""))</f>
        <v/>
      </c>
      <c r="P221" s="8" t="str">
        <f>IF($B221="","",IFERROR(INDEX(Modelos!$J$2:$J$301,MATCH($B221,Modelos!$C$2:$C$301,0)),""))</f>
        <v/>
      </c>
      <c r="Q221" s="7" t="str">
        <f>IFERROR(INDEX(Diccionarios!$B$2:$B$201,MATCH($A221,Diccionarios!$D$2:$D$201,0))&amp;"","")</f>
        <v/>
      </c>
      <c r="R221" s="7" t="str">
        <f>IFERROR(INDEX(Diccionarios!$C$2:$C$201,MATCH($A221,Diccionarios!$D$2:$D$201,0))&amp;"","")</f>
        <v/>
      </c>
      <c r="S221" s="7" t="str">
        <f>IFERROR(INDEX(Modelos!$K$2:$K$301,MATCH($B221,Modelos!$C$2:$C$301,0))&amp;"","")</f>
        <v/>
      </c>
      <c r="T221" s="7" t="str">
        <f>IFERROR(INDEX(Modelos!$L$2:$L$301,MATCH($B221,Modelos!$C$2:$C$301,0))&amp;"","")</f>
        <v/>
      </c>
    </row>
    <row r="222" spans="1:20" x14ac:dyDescent="0.25">
      <c r="A222" s="5"/>
      <c r="B222" s="5"/>
      <c r="C222" s="5"/>
      <c r="D222" s="6"/>
      <c r="E222" s="5"/>
      <c r="F222" s="7" t="str">
        <f>IF(AND(A222&lt;&gt;"",B222&lt;&gt;"",C222&lt;&gt;"",D222&lt;&gt;""),LEFT(A222,2)&amp;LEFT(B222,4)&amp;LEFT(C222,2)&amp;SUBSTITUTE(UPPER(D222),"Ú","U"),"")</f>
        <v/>
      </c>
      <c r="G222" s="7" t="str">
        <f>IFERROR(INDEX(Modelos!$B$2:$B$301,MATCH($B222,Modelos!$C$2:$C$301,0))&amp;"","")</f>
        <v/>
      </c>
      <c r="H222" s="7" t="str">
        <f>IFERROR(INDEX(Modelos!$D$2:$D$301,MATCH($B222,Modelos!$C$2:$C$301,0))&amp;"","")</f>
        <v/>
      </c>
      <c r="I222" s="7" t="str">
        <f>IFERROR(INDEX(Modelos!$E$2:$E$301,MATCH($B222,Modelos!$C$2:$C$301,0))&amp;"","")</f>
        <v/>
      </c>
      <c r="J222" s="7" t="str">
        <f>IFERROR(INDEX(Modelos!$F$2:$F$301,MATCH($B222,Modelos!$C$2:$C$301,0))&amp;"","")</f>
        <v/>
      </c>
      <c r="K222" s="7" t="str">
        <f>IFERROR(INDEX(Modelos!$G$2:$G$301,MATCH($B222,Modelos!$C$2:$C$301,0))&amp;"","")</f>
        <v/>
      </c>
      <c r="L222" s="7" t="str">
        <f>IFERROR(INDEX(Diccionarios!$G$2:$G$201,MATCH($C222,Diccionarios!$H$2:$H$201,0))&amp;"","")</f>
        <v/>
      </c>
      <c r="M222" s="7" t="str">
        <f>IF(D222="","",D222&amp;"")</f>
        <v/>
      </c>
      <c r="N222" s="8" t="str">
        <f>IF($B222="","",IFERROR(INDEX(Modelos!$H$2:$H$301,MATCH($B222,Modelos!$C$2:$C$301,0)),""))</f>
        <v/>
      </c>
      <c r="O222" s="8" t="str">
        <f>IF($B222="","",IFERROR(INDEX(Modelos!$I$2:$I$301,MATCH($B222,Modelos!$C$2:$C$301,0)),""))</f>
        <v/>
      </c>
      <c r="P222" s="8" t="str">
        <f>IF($B222="","",IFERROR(INDEX(Modelos!$J$2:$J$301,MATCH($B222,Modelos!$C$2:$C$301,0)),""))</f>
        <v/>
      </c>
      <c r="Q222" s="7" t="str">
        <f>IFERROR(INDEX(Diccionarios!$B$2:$B$201,MATCH($A222,Diccionarios!$D$2:$D$201,0))&amp;"","")</f>
        <v/>
      </c>
      <c r="R222" s="7" t="str">
        <f>IFERROR(INDEX(Diccionarios!$C$2:$C$201,MATCH($A222,Diccionarios!$D$2:$D$201,0))&amp;"","")</f>
        <v/>
      </c>
      <c r="S222" s="7" t="str">
        <f>IFERROR(INDEX(Modelos!$K$2:$K$301,MATCH($B222,Modelos!$C$2:$C$301,0))&amp;"","")</f>
        <v/>
      </c>
      <c r="T222" s="7" t="str">
        <f>IFERROR(INDEX(Modelos!$L$2:$L$301,MATCH($B222,Modelos!$C$2:$C$301,0))&amp;"","")</f>
        <v/>
      </c>
    </row>
    <row r="223" spans="1:20" x14ac:dyDescent="0.25">
      <c r="A223" s="5"/>
      <c r="B223" s="5"/>
      <c r="C223" s="5"/>
      <c r="D223" s="6"/>
      <c r="E223" s="5"/>
      <c r="F223" s="7" t="str">
        <f>IF(AND(A223&lt;&gt;"",B223&lt;&gt;"",C223&lt;&gt;"",D223&lt;&gt;""),LEFT(A223,2)&amp;LEFT(B223,4)&amp;LEFT(C223,2)&amp;SUBSTITUTE(UPPER(D223),"Ú","U"),"")</f>
        <v/>
      </c>
      <c r="G223" s="7" t="str">
        <f>IFERROR(INDEX(Modelos!$B$2:$B$301,MATCH($B223,Modelos!$C$2:$C$301,0))&amp;"","")</f>
        <v/>
      </c>
      <c r="H223" s="7" t="str">
        <f>IFERROR(INDEX(Modelos!$D$2:$D$301,MATCH($B223,Modelos!$C$2:$C$301,0))&amp;"","")</f>
        <v/>
      </c>
      <c r="I223" s="7" t="str">
        <f>IFERROR(INDEX(Modelos!$E$2:$E$301,MATCH($B223,Modelos!$C$2:$C$301,0))&amp;"","")</f>
        <v/>
      </c>
      <c r="J223" s="7" t="str">
        <f>IFERROR(INDEX(Modelos!$F$2:$F$301,MATCH($B223,Modelos!$C$2:$C$301,0))&amp;"","")</f>
        <v/>
      </c>
      <c r="K223" s="7" t="str">
        <f>IFERROR(INDEX(Modelos!$G$2:$G$301,MATCH($B223,Modelos!$C$2:$C$301,0))&amp;"","")</f>
        <v/>
      </c>
      <c r="L223" s="7" t="str">
        <f>IFERROR(INDEX(Diccionarios!$G$2:$G$201,MATCH($C223,Diccionarios!$H$2:$H$201,0))&amp;"","")</f>
        <v/>
      </c>
      <c r="M223" s="7" t="str">
        <f>IF(D223="","",D223&amp;"")</f>
        <v/>
      </c>
      <c r="N223" s="8" t="str">
        <f>IF($B223="","",IFERROR(INDEX(Modelos!$H$2:$H$301,MATCH($B223,Modelos!$C$2:$C$301,0)),""))</f>
        <v/>
      </c>
      <c r="O223" s="8" t="str">
        <f>IF($B223="","",IFERROR(INDEX(Modelos!$I$2:$I$301,MATCH($B223,Modelos!$C$2:$C$301,0)),""))</f>
        <v/>
      </c>
      <c r="P223" s="8" t="str">
        <f>IF($B223="","",IFERROR(INDEX(Modelos!$J$2:$J$301,MATCH($B223,Modelos!$C$2:$C$301,0)),""))</f>
        <v/>
      </c>
      <c r="Q223" s="7" t="str">
        <f>IFERROR(INDEX(Diccionarios!$B$2:$B$201,MATCH($A223,Diccionarios!$D$2:$D$201,0))&amp;"","")</f>
        <v/>
      </c>
      <c r="R223" s="7" t="str">
        <f>IFERROR(INDEX(Diccionarios!$C$2:$C$201,MATCH($A223,Diccionarios!$D$2:$D$201,0))&amp;"","")</f>
        <v/>
      </c>
      <c r="S223" s="7" t="str">
        <f>IFERROR(INDEX(Modelos!$K$2:$K$301,MATCH($B223,Modelos!$C$2:$C$301,0))&amp;"","")</f>
        <v/>
      </c>
      <c r="T223" s="7" t="str">
        <f>IFERROR(INDEX(Modelos!$L$2:$L$301,MATCH($B223,Modelos!$C$2:$C$301,0))&amp;"","")</f>
        <v/>
      </c>
    </row>
    <row r="224" spans="1:20" x14ac:dyDescent="0.25">
      <c r="A224" s="5"/>
      <c r="B224" s="5"/>
      <c r="C224" s="5"/>
      <c r="D224" s="6"/>
      <c r="E224" s="5"/>
      <c r="F224" s="7" t="str">
        <f>IF(AND(A224&lt;&gt;"",B224&lt;&gt;"",C224&lt;&gt;"",D224&lt;&gt;""),LEFT(A224,2)&amp;LEFT(B224,4)&amp;LEFT(C224,2)&amp;SUBSTITUTE(UPPER(D224),"Ú","U"),"")</f>
        <v/>
      </c>
      <c r="G224" s="7" t="str">
        <f>IFERROR(INDEX(Modelos!$B$2:$B$301,MATCH($B224,Modelos!$C$2:$C$301,0))&amp;"","")</f>
        <v/>
      </c>
      <c r="H224" s="7" t="str">
        <f>IFERROR(INDEX(Modelos!$D$2:$D$301,MATCH($B224,Modelos!$C$2:$C$301,0))&amp;"","")</f>
        <v/>
      </c>
      <c r="I224" s="7" t="str">
        <f>IFERROR(INDEX(Modelos!$E$2:$E$301,MATCH($B224,Modelos!$C$2:$C$301,0))&amp;"","")</f>
        <v/>
      </c>
      <c r="J224" s="7" t="str">
        <f>IFERROR(INDEX(Modelos!$F$2:$F$301,MATCH($B224,Modelos!$C$2:$C$301,0))&amp;"","")</f>
        <v/>
      </c>
      <c r="K224" s="7" t="str">
        <f>IFERROR(INDEX(Modelos!$G$2:$G$301,MATCH($B224,Modelos!$C$2:$C$301,0))&amp;"","")</f>
        <v/>
      </c>
      <c r="L224" s="7" t="str">
        <f>IFERROR(INDEX(Diccionarios!$G$2:$G$201,MATCH($C224,Diccionarios!$H$2:$H$201,0))&amp;"","")</f>
        <v/>
      </c>
      <c r="M224" s="7" t="str">
        <f>IF(D224="","",D224&amp;"")</f>
        <v/>
      </c>
      <c r="N224" s="8" t="str">
        <f>IF($B224="","",IFERROR(INDEX(Modelos!$H$2:$H$301,MATCH($B224,Modelos!$C$2:$C$301,0)),""))</f>
        <v/>
      </c>
      <c r="O224" s="8" t="str">
        <f>IF($B224="","",IFERROR(INDEX(Modelos!$I$2:$I$301,MATCH($B224,Modelos!$C$2:$C$301,0)),""))</f>
        <v/>
      </c>
      <c r="P224" s="8" t="str">
        <f>IF($B224="","",IFERROR(INDEX(Modelos!$J$2:$J$301,MATCH($B224,Modelos!$C$2:$C$301,0)),""))</f>
        <v/>
      </c>
      <c r="Q224" s="7" t="str">
        <f>IFERROR(INDEX(Diccionarios!$B$2:$B$201,MATCH($A224,Diccionarios!$D$2:$D$201,0))&amp;"","")</f>
        <v/>
      </c>
      <c r="R224" s="7" t="str">
        <f>IFERROR(INDEX(Diccionarios!$C$2:$C$201,MATCH($A224,Diccionarios!$D$2:$D$201,0))&amp;"","")</f>
        <v/>
      </c>
      <c r="S224" s="7" t="str">
        <f>IFERROR(INDEX(Modelos!$K$2:$K$301,MATCH($B224,Modelos!$C$2:$C$301,0))&amp;"","")</f>
        <v/>
      </c>
      <c r="T224" s="7" t="str">
        <f>IFERROR(INDEX(Modelos!$L$2:$L$301,MATCH($B224,Modelos!$C$2:$C$301,0))&amp;"","")</f>
        <v/>
      </c>
    </row>
    <row r="225" spans="1:20" x14ac:dyDescent="0.25">
      <c r="A225" s="5"/>
      <c r="B225" s="5"/>
      <c r="C225" s="5"/>
      <c r="D225" s="6"/>
      <c r="E225" s="5"/>
      <c r="F225" s="7" t="str">
        <f>IF(AND(A225&lt;&gt;"",B225&lt;&gt;"",C225&lt;&gt;"",D225&lt;&gt;""),LEFT(A225,2)&amp;LEFT(B225,4)&amp;LEFT(C225,2)&amp;SUBSTITUTE(UPPER(D225),"Ú","U"),"")</f>
        <v/>
      </c>
      <c r="G225" s="7" t="str">
        <f>IFERROR(INDEX(Modelos!$B$2:$B$301,MATCH($B225,Modelos!$C$2:$C$301,0))&amp;"","")</f>
        <v/>
      </c>
      <c r="H225" s="7" t="str">
        <f>IFERROR(INDEX(Modelos!$D$2:$D$301,MATCH($B225,Modelos!$C$2:$C$301,0))&amp;"","")</f>
        <v/>
      </c>
      <c r="I225" s="7" t="str">
        <f>IFERROR(INDEX(Modelos!$E$2:$E$301,MATCH($B225,Modelos!$C$2:$C$301,0))&amp;"","")</f>
        <v/>
      </c>
      <c r="J225" s="7" t="str">
        <f>IFERROR(INDEX(Modelos!$F$2:$F$301,MATCH($B225,Modelos!$C$2:$C$301,0))&amp;"","")</f>
        <v/>
      </c>
      <c r="K225" s="7" t="str">
        <f>IFERROR(INDEX(Modelos!$G$2:$G$301,MATCH($B225,Modelos!$C$2:$C$301,0))&amp;"","")</f>
        <v/>
      </c>
      <c r="L225" s="7" t="str">
        <f>IFERROR(INDEX(Diccionarios!$G$2:$G$201,MATCH($C225,Diccionarios!$H$2:$H$201,0))&amp;"","")</f>
        <v/>
      </c>
      <c r="M225" s="7" t="str">
        <f>IF(D225="","",D225&amp;"")</f>
        <v/>
      </c>
      <c r="N225" s="8" t="str">
        <f>IF($B225="","",IFERROR(INDEX(Modelos!$H$2:$H$301,MATCH($B225,Modelos!$C$2:$C$301,0)),""))</f>
        <v/>
      </c>
      <c r="O225" s="8" t="str">
        <f>IF($B225="","",IFERROR(INDEX(Modelos!$I$2:$I$301,MATCH($B225,Modelos!$C$2:$C$301,0)),""))</f>
        <v/>
      </c>
      <c r="P225" s="8" t="str">
        <f>IF($B225="","",IFERROR(INDEX(Modelos!$J$2:$J$301,MATCH($B225,Modelos!$C$2:$C$301,0)),""))</f>
        <v/>
      </c>
      <c r="Q225" s="7" t="str">
        <f>IFERROR(INDEX(Diccionarios!$B$2:$B$201,MATCH($A225,Diccionarios!$D$2:$D$201,0))&amp;"","")</f>
        <v/>
      </c>
      <c r="R225" s="7" t="str">
        <f>IFERROR(INDEX(Diccionarios!$C$2:$C$201,MATCH($A225,Diccionarios!$D$2:$D$201,0))&amp;"","")</f>
        <v/>
      </c>
      <c r="S225" s="7" t="str">
        <f>IFERROR(INDEX(Modelos!$K$2:$K$301,MATCH($B225,Modelos!$C$2:$C$301,0))&amp;"","")</f>
        <v/>
      </c>
      <c r="T225" s="7" t="str">
        <f>IFERROR(INDEX(Modelos!$L$2:$L$301,MATCH($B225,Modelos!$C$2:$C$301,0))&amp;"","")</f>
        <v/>
      </c>
    </row>
    <row r="226" spans="1:20" x14ac:dyDescent="0.25">
      <c r="A226" s="5"/>
      <c r="B226" s="5"/>
      <c r="C226" s="5"/>
      <c r="D226" s="6"/>
      <c r="E226" s="5"/>
      <c r="F226" s="7" t="str">
        <f>IF(AND(A226&lt;&gt;"",B226&lt;&gt;"",C226&lt;&gt;"",D226&lt;&gt;""),LEFT(A226,2)&amp;LEFT(B226,4)&amp;LEFT(C226,2)&amp;SUBSTITUTE(UPPER(D226),"Ú","U"),"")</f>
        <v/>
      </c>
      <c r="G226" s="7" t="str">
        <f>IFERROR(INDEX(Modelos!$B$2:$B$301,MATCH($B226,Modelos!$C$2:$C$301,0))&amp;"","")</f>
        <v/>
      </c>
      <c r="H226" s="7" t="str">
        <f>IFERROR(INDEX(Modelos!$D$2:$D$301,MATCH($B226,Modelos!$C$2:$C$301,0))&amp;"","")</f>
        <v/>
      </c>
      <c r="I226" s="7" t="str">
        <f>IFERROR(INDEX(Modelos!$E$2:$E$301,MATCH($B226,Modelos!$C$2:$C$301,0))&amp;"","")</f>
        <v/>
      </c>
      <c r="J226" s="7" t="str">
        <f>IFERROR(INDEX(Modelos!$F$2:$F$301,MATCH($B226,Modelos!$C$2:$C$301,0))&amp;"","")</f>
        <v/>
      </c>
      <c r="K226" s="7" t="str">
        <f>IFERROR(INDEX(Modelos!$G$2:$G$301,MATCH($B226,Modelos!$C$2:$C$301,0))&amp;"","")</f>
        <v/>
      </c>
      <c r="L226" s="7" t="str">
        <f>IFERROR(INDEX(Diccionarios!$G$2:$G$201,MATCH($C226,Diccionarios!$H$2:$H$201,0))&amp;"","")</f>
        <v/>
      </c>
      <c r="M226" s="7" t="str">
        <f>IF(D226="","",D226&amp;"")</f>
        <v/>
      </c>
      <c r="N226" s="8" t="str">
        <f>IF($B226="","",IFERROR(INDEX(Modelos!$H$2:$H$301,MATCH($B226,Modelos!$C$2:$C$301,0)),""))</f>
        <v/>
      </c>
      <c r="O226" s="8" t="str">
        <f>IF($B226="","",IFERROR(INDEX(Modelos!$I$2:$I$301,MATCH($B226,Modelos!$C$2:$C$301,0)),""))</f>
        <v/>
      </c>
      <c r="P226" s="8" t="str">
        <f>IF($B226="","",IFERROR(INDEX(Modelos!$J$2:$J$301,MATCH($B226,Modelos!$C$2:$C$301,0)),""))</f>
        <v/>
      </c>
      <c r="Q226" s="7" t="str">
        <f>IFERROR(INDEX(Diccionarios!$B$2:$B$201,MATCH($A226,Diccionarios!$D$2:$D$201,0))&amp;"","")</f>
        <v/>
      </c>
      <c r="R226" s="7" t="str">
        <f>IFERROR(INDEX(Diccionarios!$C$2:$C$201,MATCH($A226,Diccionarios!$D$2:$D$201,0))&amp;"","")</f>
        <v/>
      </c>
      <c r="S226" s="7" t="str">
        <f>IFERROR(INDEX(Modelos!$K$2:$K$301,MATCH($B226,Modelos!$C$2:$C$301,0))&amp;"","")</f>
        <v/>
      </c>
      <c r="T226" s="7" t="str">
        <f>IFERROR(INDEX(Modelos!$L$2:$L$301,MATCH($B226,Modelos!$C$2:$C$301,0))&amp;"","")</f>
        <v/>
      </c>
    </row>
    <row r="227" spans="1:20" x14ac:dyDescent="0.25">
      <c r="A227" s="5"/>
      <c r="B227" s="5"/>
      <c r="C227" s="5"/>
      <c r="D227" s="6"/>
      <c r="E227" s="5"/>
      <c r="F227" s="7" t="str">
        <f>IF(AND(A227&lt;&gt;"",B227&lt;&gt;"",C227&lt;&gt;"",D227&lt;&gt;""),LEFT(A227,2)&amp;LEFT(B227,4)&amp;LEFT(C227,2)&amp;SUBSTITUTE(UPPER(D227),"Ú","U"),"")</f>
        <v/>
      </c>
      <c r="G227" s="7" t="str">
        <f>IFERROR(INDEX(Modelos!$B$2:$B$301,MATCH($B227,Modelos!$C$2:$C$301,0))&amp;"","")</f>
        <v/>
      </c>
      <c r="H227" s="7" t="str">
        <f>IFERROR(INDEX(Modelos!$D$2:$D$301,MATCH($B227,Modelos!$C$2:$C$301,0))&amp;"","")</f>
        <v/>
      </c>
      <c r="I227" s="7" t="str">
        <f>IFERROR(INDEX(Modelos!$E$2:$E$301,MATCH($B227,Modelos!$C$2:$C$301,0))&amp;"","")</f>
        <v/>
      </c>
      <c r="J227" s="7" t="str">
        <f>IFERROR(INDEX(Modelos!$F$2:$F$301,MATCH($B227,Modelos!$C$2:$C$301,0))&amp;"","")</f>
        <v/>
      </c>
      <c r="K227" s="7" t="str">
        <f>IFERROR(INDEX(Modelos!$G$2:$G$301,MATCH($B227,Modelos!$C$2:$C$301,0))&amp;"","")</f>
        <v/>
      </c>
      <c r="L227" s="7" t="str">
        <f>IFERROR(INDEX(Diccionarios!$G$2:$G$201,MATCH($C227,Diccionarios!$H$2:$H$201,0))&amp;"","")</f>
        <v/>
      </c>
      <c r="M227" s="7" t="str">
        <f>IF(D227="","",D227&amp;"")</f>
        <v/>
      </c>
      <c r="N227" s="8" t="str">
        <f>IF($B227="","",IFERROR(INDEX(Modelos!$H$2:$H$301,MATCH($B227,Modelos!$C$2:$C$301,0)),""))</f>
        <v/>
      </c>
      <c r="O227" s="8" t="str">
        <f>IF($B227="","",IFERROR(INDEX(Modelos!$I$2:$I$301,MATCH($B227,Modelos!$C$2:$C$301,0)),""))</f>
        <v/>
      </c>
      <c r="P227" s="8" t="str">
        <f>IF($B227="","",IFERROR(INDEX(Modelos!$J$2:$J$301,MATCH($B227,Modelos!$C$2:$C$301,0)),""))</f>
        <v/>
      </c>
      <c r="Q227" s="7" t="str">
        <f>IFERROR(INDEX(Diccionarios!$B$2:$B$201,MATCH($A227,Diccionarios!$D$2:$D$201,0))&amp;"","")</f>
        <v/>
      </c>
      <c r="R227" s="7" t="str">
        <f>IFERROR(INDEX(Diccionarios!$C$2:$C$201,MATCH($A227,Diccionarios!$D$2:$D$201,0))&amp;"","")</f>
        <v/>
      </c>
      <c r="S227" s="7" t="str">
        <f>IFERROR(INDEX(Modelos!$K$2:$K$301,MATCH($B227,Modelos!$C$2:$C$301,0))&amp;"","")</f>
        <v/>
      </c>
      <c r="T227" s="7" t="str">
        <f>IFERROR(INDEX(Modelos!$L$2:$L$301,MATCH($B227,Modelos!$C$2:$C$301,0))&amp;"","")</f>
        <v/>
      </c>
    </row>
    <row r="228" spans="1:20" x14ac:dyDescent="0.25">
      <c r="A228" s="5"/>
      <c r="B228" s="5"/>
      <c r="C228" s="5"/>
      <c r="D228" s="6"/>
      <c r="E228" s="5"/>
      <c r="F228" s="7" t="str">
        <f>IF(AND(A228&lt;&gt;"",B228&lt;&gt;"",C228&lt;&gt;"",D228&lt;&gt;""),LEFT(A228,2)&amp;LEFT(B228,4)&amp;LEFT(C228,2)&amp;SUBSTITUTE(UPPER(D228),"Ú","U"),"")</f>
        <v/>
      </c>
      <c r="G228" s="7" t="str">
        <f>IFERROR(INDEX(Modelos!$B$2:$B$301,MATCH($B228,Modelos!$C$2:$C$301,0))&amp;"","")</f>
        <v/>
      </c>
      <c r="H228" s="7" t="str">
        <f>IFERROR(INDEX(Modelos!$D$2:$D$301,MATCH($B228,Modelos!$C$2:$C$301,0))&amp;"","")</f>
        <v/>
      </c>
      <c r="I228" s="7" t="str">
        <f>IFERROR(INDEX(Modelos!$E$2:$E$301,MATCH($B228,Modelos!$C$2:$C$301,0))&amp;"","")</f>
        <v/>
      </c>
      <c r="J228" s="7" t="str">
        <f>IFERROR(INDEX(Modelos!$F$2:$F$301,MATCH($B228,Modelos!$C$2:$C$301,0))&amp;"","")</f>
        <v/>
      </c>
      <c r="K228" s="7" t="str">
        <f>IFERROR(INDEX(Modelos!$G$2:$G$301,MATCH($B228,Modelos!$C$2:$C$301,0))&amp;"","")</f>
        <v/>
      </c>
      <c r="L228" s="7" t="str">
        <f>IFERROR(INDEX(Diccionarios!$G$2:$G$201,MATCH($C228,Diccionarios!$H$2:$H$201,0))&amp;"","")</f>
        <v/>
      </c>
      <c r="M228" s="7" t="str">
        <f>IF(D228="","",D228&amp;"")</f>
        <v/>
      </c>
      <c r="N228" s="8" t="str">
        <f>IF($B228="","",IFERROR(INDEX(Modelos!$H$2:$H$301,MATCH($B228,Modelos!$C$2:$C$301,0)),""))</f>
        <v/>
      </c>
      <c r="O228" s="8" t="str">
        <f>IF($B228="","",IFERROR(INDEX(Modelos!$I$2:$I$301,MATCH($B228,Modelos!$C$2:$C$301,0)),""))</f>
        <v/>
      </c>
      <c r="P228" s="8" t="str">
        <f>IF($B228="","",IFERROR(INDEX(Modelos!$J$2:$J$301,MATCH($B228,Modelos!$C$2:$C$301,0)),""))</f>
        <v/>
      </c>
      <c r="Q228" s="7" t="str">
        <f>IFERROR(INDEX(Diccionarios!$B$2:$B$201,MATCH($A228,Diccionarios!$D$2:$D$201,0))&amp;"","")</f>
        <v/>
      </c>
      <c r="R228" s="7" t="str">
        <f>IFERROR(INDEX(Diccionarios!$C$2:$C$201,MATCH($A228,Diccionarios!$D$2:$D$201,0))&amp;"","")</f>
        <v/>
      </c>
      <c r="S228" s="7" t="str">
        <f>IFERROR(INDEX(Modelos!$K$2:$K$301,MATCH($B228,Modelos!$C$2:$C$301,0))&amp;"","")</f>
        <v/>
      </c>
      <c r="T228" s="7" t="str">
        <f>IFERROR(INDEX(Modelos!$L$2:$L$301,MATCH($B228,Modelos!$C$2:$C$301,0))&amp;"","")</f>
        <v/>
      </c>
    </row>
    <row r="229" spans="1:20" x14ac:dyDescent="0.25">
      <c r="A229" s="5"/>
      <c r="B229" s="5"/>
      <c r="C229" s="5"/>
      <c r="D229" s="6"/>
      <c r="E229" s="5"/>
      <c r="F229" s="7" t="str">
        <f>IF(AND(A229&lt;&gt;"",B229&lt;&gt;"",C229&lt;&gt;"",D229&lt;&gt;""),LEFT(A229,2)&amp;LEFT(B229,4)&amp;LEFT(C229,2)&amp;SUBSTITUTE(UPPER(D229),"Ú","U"),"")</f>
        <v/>
      </c>
      <c r="G229" s="7" t="str">
        <f>IFERROR(INDEX(Modelos!$B$2:$B$301,MATCH($B229,Modelos!$C$2:$C$301,0))&amp;"","")</f>
        <v/>
      </c>
      <c r="H229" s="7" t="str">
        <f>IFERROR(INDEX(Modelos!$D$2:$D$301,MATCH($B229,Modelos!$C$2:$C$301,0))&amp;"","")</f>
        <v/>
      </c>
      <c r="I229" s="7" t="str">
        <f>IFERROR(INDEX(Modelos!$E$2:$E$301,MATCH($B229,Modelos!$C$2:$C$301,0))&amp;"","")</f>
        <v/>
      </c>
      <c r="J229" s="7" t="str">
        <f>IFERROR(INDEX(Modelos!$F$2:$F$301,MATCH($B229,Modelos!$C$2:$C$301,0))&amp;"","")</f>
        <v/>
      </c>
      <c r="K229" s="7" t="str">
        <f>IFERROR(INDEX(Modelos!$G$2:$G$301,MATCH($B229,Modelos!$C$2:$C$301,0))&amp;"","")</f>
        <v/>
      </c>
      <c r="L229" s="7" t="str">
        <f>IFERROR(INDEX(Diccionarios!$G$2:$G$201,MATCH($C229,Diccionarios!$H$2:$H$201,0))&amp;"","")</f>
        <v/>
      </c>
      <c r="M229" s="7" t="str">
        <f>IF(D229="","",D229&amp;"")</f>
        <v/>
      </c>
      <c r="N229" s="8" t="str">
        <f>IF($B229="","",IFERROR(INDEX(Modelos!$H$2:$H$301,MATCH($B229,Modelos!$C$2:$C$301,0)),""))</f>
        <v/>
      </c>
      <c r="O229" s="8" t="str">
        <f>IF($B229="","",IFERROR(INDEX(Modelos!$I$2:$I$301,MATCH($B229,Modelos!$C$2:$C$301,0)),""))</f>
        <v/>
      </c>
      <c r="P229" s="8" t="str">
        <f>IF($B229="","",IFERROR(INDEX(Modelos!$J$2:$J$301,MATCH($B229,Modelos!$C$2:$C$301,0)),""))</f>
        <v/>
      </c>
      <c r="Q229" s="7" t="str">
        <f>IFERROR(INDEX(Diccionarios!$B$2:$B$201,MATCH($A229,Diccionarios!$D$2:$D$201,0))&amp;"","")</f>
        <v/>
      </c>
      <c r="R229" s="7" t="str">
        <f>IFERROR(INDEX(Diccionarios!$C$2:$C$201,MATCH($A229,Diccionarios!$D$2:$D$201,0))&amp;"","")</f>
        <v/>
      </c>
      <c r="S229" s="7" t="str">
        <f>IFERROR(INDEX(Modelos!$K$2:$K$301,MATCH($B229,Modelos!$C$2:$C$301,0))&amp;"","")</f>
        <v/>
      </c>
      <c r="T229" s="7" t="str">
        <f>IFERROR(INDEX(Modelos!$L$2:$L$301,MATCH($B229,Modelos!$C$2:$C$301,0))&amp;"","")</f>
        <v/>
      </c>
    </row>
    <row r="230" spans="1:20" x14ac:dyDescent="0.25">
      <c r="A230" s="5"/>
      <c r="B230" s="5"/>
      <c r="C230" s="5"/>
      <c r="D230" s="6"/>
      <c r="E230" s="5"/>
      <c r="F230" s="7" t="str">
        <f>IF(AND(A230&lt;&gt;"",B230&lt;&gt;"",C230&lt;&gt;"",D230&lt;&gt;""),LEFT(A230,2)&amp;LEFT(B230,4)&amp;LEFT(C230,2)&amp;SUBSTITUTE(UPPER(D230),"Ú","U"),"")</f>
        <v/>
      </c>
      <c r="G230" s="7" t="str">
        <f>IFERROR(INDEX(Modelos!$B$2:$B$301,MATCH($B230,Modelos!$C$2:$C$301,0))&amp;"","")</f>
        <v/>
      </c>
      <c r="H230" s="7" t="str">
        <f>IFERROR(INDEX(Modelos!$D$2:$D$301,MATCH($B230,Modelos!$C$2:$C$301,0))&amp;"","")</f>
        <v/>
      </c>
      <c r="I230" s="7" t="str">
        <f>IFERROR(INDEX(Modelos!$E$2:$E$301,MATCH($B230,Modelos!$C$2:$C$301,0))&amp;"","")</f>
        <v/>
      </c>
      <c r="J230" s="7" t="str">
        <f>IFERROR(INDEX(Modelos!$F$2:$F$301,MATCH($B230,Modelos!$C$2:$C$301,0))&amp;"","")</f>
        <v/>
      </c>
      <c r="K230" s="7" t="str">
        <f>IFERROR(INDEX(Modelos!$G$2:$G$301,MATCH($B230,Modelos!$C$2:$C$301,0))&amp;"","")</f>
        <v/>
      </c>
      <c r="L230" s="7" t="str">
        <f>IFERROR(INDEX(Diccionarios!$G$2:$G$201,MATCH($C230,Diccionarios!$H$2:$H$201,0))&amp;"","")</f>
        <v/>
      </c>
      <c r="M230" s="7" t="str">
        <f>IF(D230="","",D230&amp;"")</f>
        <v/>
      </c>
      <c r="N230" s="8" t="str">
        <f>IF($B230="","",IFERROR(INDEX(Modelos!$H$2:$H$301,MATCH($B230,Modelos!$C$2:$C$301,0)),""))</f>
        <v/>
      </c>
      <c r="O230" s="8" t="str">
        <f>IF($B230="","",IFERROR(INDEX(Modelos!$I$2:$I$301,MATCH($B230,Modelos!$C$2:$C$301,0)),""))</f>
        <v/>
      </c>
      <c r="P230" s="8" t="str">
        <f>IF($B230="","",IFERROR(INDEX(Modelos!$J$2:$J$301,MATCH($B230,Modelos!$C$2:$C$301,0)),""))</f>
        <v/>
      </c>
      <c r="Q230" s="7" t="str">
        <f>IFERROR(INDEX(Diccionarios!$B$2:$B$201,MATCH($A230,Diccionarios!$D$2:$D$201,0))&amp;"","")</f>
        <v/>
      </c>
      <c r="R230" s="7" t="str">
        <f>IFERROR(INDEX(Diccionarios!$C$2:$C$201,MATCH($A230,Diccionarios!$D$2:$D$201,0))&amp;"","")</f>
        <v/>
      </c>
      <c r="S230" s="7" t="str">
        <f>IFERROR(INDEX(Modelos!$K$2:$K$301,MATCH($B230,Modelos!$C$2:$C$301,0))&amp;"","")</f>
        <v/>
      </c>
      <c r="T230" s="7" t="str">
        <f>IFERROR(INDEX(Modelos!$L$2:$L$301,MATCH($B230,Modelos!$C$2:$C$301,0))&amp;"","")</f>
        <v/>
      </c>
    </row>
    <row r="231" spans="1:20" x14ac:dyDescent="0.25">
      <c r="A231" s="5"/>
      <c r="B231" s="5"/>
      <c r="C231" s="5"/>
      <c r="D231" s="6"/>
      <c r="E231" s="5"/>
      <c r="F231" s="7" t="str">
        <f>IF(AND(A231&lt;&gt;"",B231&lt;&gt;"",C231&lt;&gt;"",D231&lt;&gt;""),LEFT(A231,2)&amp;LEFT(B231,4)&amp;LEFT(C231,2)&amp;SUBSTITUTE(UPPER(D231),"Ú","U"),"")</f>
        <v/>
      </c>
      <c r="G231" s="7" t="str">
        <f>IFERROR(INDEX(Modelos!$B$2:$B$301,MATCH($B231,Modelos!$C$2:$C$301,0))&amp;"","")</f>
        <v/>
      </c>
      <c r="H231" s="7" t="str">
        <f>IFERROR(INDEX(Modelos!$D$2:$D$301,MATCH($B231,Modelos!$C$2:$C$301,0))&amp;"","")</f>
        <v/>
      </c>
      <c r="I231" s="7" t="str">
        <f>IFERROR(INDEX(Modelos!$E$2:$E$301,MATCH($B231,Modelos!$C$2:$C$301,0))&amp;"","")</f>
        <v/>
      </c>
      <c r="J231" s="7" t="str">
        <f>IFERROR(INDEX(Modelos!$F$2:$F$301,MATCH($B231,Modelos!$C$2:$C$301,0))&amp;"","")</f>
        <v/>
      </c>
      <c r="K231" s="7" t="str">
        <f>IFERROR(INDEX(Modelos!$G$2:$G$301,MATCH($B231,Modelos!$C$2:$C$301,0))&amp;"","")</f>
        <v/>
      </c>
      <c r="L231" s="7" t="str">
        <f>IFERROR(INDEX(Diccionarios!$G$2:$G$201,MATCH($C231,Diccionarios!$H$2:$H$201,0))&amp;"","")</f>
        <v/>
      </c>
      <c r="M231" s="7" t="str">
        <f>IF(D231="","",D231&amp;"")</f>
        <v/>
      </c>
      <c r="N231" s="8" t="str">
        <f>IF($B231="","",IFERROR(INDEX(Modelos!$H$2:$H$301,MATCH($B231,Modelos!$C$2:$C$301,0)),""))</f>
        <v/>
      </c>
      <c r="O231" s="8" t="str">
        <f>IF($B231="","",IFERROR(INDEX(Modelos!$I$2:$I$301,MATCH($B231,Modelos!$C$2:$C$301,0)),""))</f>
        <v/>
      </c>
      <c r="P231" s="8" t="str">
        <f>IF($B231="","",IFERROR(INDEX(Modelos!$J$2:$J$301,MATCH($B231,Modelos!$C$2:$C$301,0)),""))</f>
        <v/>
      </c>
      <c r="Q231" s="7" t="str">
        <f>IFERROR(INDEX(Diccionarios!$B$2:$B$201,MATCH($A231,Diccionarios!$D$2:$D$201,0))&amp;"","")</f>
        <v/>
      </c>
      <c r="R231" s="7" t="str">
        <f>IFERROR(INDEX(Diccionarios!$C$2:$C$201,MATCH($A231,Diccionarios!$D$2:$D$201,0))&amp;"","")</f>
        <v/>
      </c>
      <c r="S231" s="7" t="str">
        <f>IFERROR(INDEX(Modelos!$K$2:$K$301,MATCH($B231,Modelos!$C$2:$C$301,0))&amp;"","")</f>
        <v/>
      </c>
      <c r="T231" s="7" t="str">
        <f>IFERROR(INDEX(Modelos!$L$2:$L$301,MATCH($B231,Modelos!$C$2:$C$301,0))&amp;"","")</f>
        <v/>
      </c>
    </row>
    <row r="232" spans="1:20" x14ac:dyDescent="0.25">
      <c r="A232" s="5"/>
      <c r="B232" s="5"/>
      <c r="C232" s="5"/>
      <c r="D232" s="6"/>
      <c r="E232" s="5"/>
      <c r="F232" s="7" t="str">
        <f>IF(AND(A232&lt;&gt;"",B232&lt;&gt;"",C232&lt;&gt;"",D232&lt;&gt;""),LEFT(A232,2)&amp;LEFT(B232,4)&amp;LEFT(C232,2)&amp;SUBSTITUTE(UPPER(D232),"Ú","U"),"")</f>
        <v/>
      </c>
      <c r="G232" s="7" t="str">
        <f>IFERROR(INDEX(Modelos!$B$2:$B$301,MATCH($B232,Modelos!$C$2:$C$301,0))&amp;"","")</f>
        <v/>
      </c>
      <c r="H232" s="7" t="str">
        <f>IFERROR(INDEX(Modelos!$D$2:$D$301,MATCH($B232,Modelos!$C$2:$C$301,0))&amp;"","")</f>
        <v/>
      </c>
      <c r="I232" s="7" t="str">
        <f>IFERROR(INDEX(Modelos!$E$2:$E$301,MATCH($B232,Modelos!$C$2:$C$301,0))&amp;"","")</f>
        <v/>
      </c>
      <c r="J232" s="7" t="str">
        <f>IFERROR(INDEX(Modelos!$F$2:$F$301,MATCH($B232,Modelos!$C$2:$C$301,0))&amp;"","")</f>
        <v/>
      </c>
      <c r="K232" s="7" t="str">
        <f>IFERROR(INDEX(Modelos!$G$2:$G$301,MATCH($B232,Modelos!$C$2:$C$301,0))&amp;"","")</f>
        <v/>
      </c>
      <c r="L232" s="7" t="str">
        <f>IFERROR(INDEX(Diccionarios!$G$2:$G$201,MATCH($C232,Diccionarios!$H$2:$H$201,0))&amp;"","")</f>
        <v/>
      </c>
      <c r="M232" s="7" t="str">
        <f>IF(D232="","",D232&amp;"")</f>
        <v/>
      </c>
      <c r="N232" s="8" t="str">
        <f>IF($B232="","",IFERROR(INDEX(Modelos!$H$2:$H$301,MATCH($B232,Modelos!$C$2:$C$301,0)),""))</f>
        <v/>
      </c>
      <c r="O232" s="8" t="str">
        <f>IF($B232="","",IFERROR(INDEX(Modelos!$I$2:$I$301,MATCH($B232,Modelos!$C$2:$C$301,0)),""))</f>
        <v/>
      </c>
      <c r="P232" s="8" t="str">
        <f>IF($B232="","",IFERROR(INDEX(Modelos!$J$2:$J$301,MATCH($B232,Modelos!$C$2:$C$301,0)),""))</f>
        <v/>
      </c>
      <c r="Q232" s="7" t="str">
        <f>IFERROR(INDEX(Diccionarios!$B$2:$B$201,MATCH($A232,Diccionarios!$D$2:$D$201,0))&amp;"","")</f>
        <v/>
      </c>
      <c r="R232" s="7" t="str">
        <f>IFERROR(INDEX(Diccionarios!$C$2:$C$201,MATCH($A232,Diccionarios!$D$2:$D$201,0))&amp;"","")</f>
        <v/>
      </c>
      <c r="S232" s="7" t="str">
        <f>IFERROR(INDEX(Modelos!$K$2:$K$301,MATCH($B232,Modelos!$C$2:$C$301,0))&amp;"","")</f>
        <v/>
      </c>
      <c r="T232" s="7" t="str">
        <f>IFERROR(INDEX(Modelos!$L$2:$L$301,MATCH($B232,Modelos!$C$2:$C$301,0))&amp;"","")</f>
        <v/>
      </c>
    </row>
    <row r="233" spans="1:20" x14ac:dyDescent="0.25">
      <c r="A233" s="5"/>
      <c r="B233" s="5"/>
      <c r="C233" s="5"/>
      <c r="D233" s="6"/>
      <c r="E233" s="5"/>
      <c r="F233" s="7" t="str">
        <f>IF(AND(A233&lt;&gt;"",B233&lt;&gt;"",C233&lt;&gt;"",D233&lt;&gt;""),LEFT(A233,2)&amp;LEFT(B233,4)&amp;LEFT(C233,2)&amp;SUBSTITUTE(UPPER(D233),"Ú","U"),"")</f>
        <v/>
      </c>
      <c r="G233" s="7" t="str">
        <f>IFERROR(INDEX(Modelos!$B$2:$B$301,MATCH($B233,Modelos!$C$2:$C$301,0))&amp;"","")</f>
        <v/>
      </c>
      <c r="H233" s="7" t="str">
        <f>IFERROR(INDEX(Modelos!$D$2:$D$301,MATCH($B233,Modelos!$C$2:$C$301,0))&amp;"","")</f>
        <v/>
      </c>
      <c r="I233" s="7" t="str">
        <f>IFERROR(INDEX(Modelos!$E$2:$E$301,MATCH($B233,Modelos!$C$2:$C$301,0))&amp;"","")</f>
        <v/>
      </c>
      <c r="J233" s="7" t="str">
        <f>IFERROR(INDEX(Modelos!$F$2:$F$301,MATCH($B233,Modelos!$C$2:$C$301,0))&amp;"","")</f>
        <v/>
      </c>
      <c r="K233" s="7" t="str">
        <f>IFERROR(INDEX(Modelos!$G$2:$G$301,MATCH($B233,Modelos!$C$2:$C$301,0))&amp;"","")</f>
        <v/>
      </c>
      <c r="L233" s="7" t="str">
        <f>IFERROR(INDEX(Diccionarios!$G$2:$G$201,MATCH($C233,Diccionarios!$H$2:$H$201,0))&amp;"","")</f>
        <v/>
      </c>
      <c r="M233" s="7" t="str">
        <f>IF(D233="","",D233&amp;"")</f>
        <v/>
      </c>
      <c r="N233" s="8" t="str">
        <f>IF($B233="","",IFERROR(INDEX(Modelos!$H$2:$H$301,MATCH($B233,Modelos!$C$2:$C$301,0)),""))</f>
        <v/>
      </c>
      <c r="O233" s="8" t="str">
        <f>IF($B233="","",IFERROR(INDEX(Modelos!$I$2:$I$301,MATCH($B233,Modelos!$C$2:$C$301,0)),""))</f>
        <v/>
      </c>
      <c r="P233" s="8" t="str">
        <f>IF($B233="","",IFERROR(INDEX(Modelos!$J$2:$J$301,MATCH($B233,Modelos!$C$2:$C$301,0)),""))</f>
        <v/>
      </c>
      <c r="Q233" s="7" t="str">
        <f>IFERROR(INDEX(Diccionarios!$B$2:$B$201,MATCH($A233,Diccionarios!$D$2:$D$201,0))&amp;"","")</f>
        <v/>
      </c>
      <c r="R233" s="7" t="str">
        <f>IFERROR(INDEX(Diccionarios!$C$2:$C$201,MATCH($A233,Diccionarios!$D$2:$D$201,0))&amp;"","")</f>
        <v/>
      </c>
      <c r="S233" s="7" t="str">
        <f>IFERROR(INDEX(Modelos!$K$2:$K$301,MATCH($B233,Modelos!$C$2:$C$301,0))&amp;"","")</f>
        <v/>
      </c>
      <c r="T233" s="7" t="str">
        <f>IFERROR(INDEX(Modelos!$L$2:$L$301,MATCH($B233,Modelos!$C$2:$C$301,0))&amp;"","")</f>
        <v/>
      </c>
    </row>
    <row r="234" spans="1:20" x14ac:dyDescent="0.25">
      <c r="A234" s="5"/>
      <c r="B234" s="5"/>
      <c r="C234" s="5"/>
      <c r="D234" s="6"/>
      <c r="E234" s="5"/>
      <c r="F234" s="7" t="str">
        <f>IF(AND(A234&lt;&gt;"",B234&lt;&gt;"",C234&lt;&gt;"",D234&lt;&gt;""),LEFT(A234,2)&amp;LEFT(B234,4)&amp;LEFT(C234,2)&amp;SUBSTITUTE(UPPER(D234),"Ú","U"),"")</f>
        <v/>
      </c>
      <c r="G234" s="7" t="str">
        <f>IFERROR(INDEX(Modelos!$B$2:$B$301,MATCH($B234,Modelos!$C$2:$C$301,0))&amp;"","")</f>
        <v/>
      </c>
      <c r="H234" s="7" t="str">
        <f>IFERROR(INDEX(Modelos!$D$2:$D$301,MATCH($B234,Modelos!$C$2:$C$301,0))&amp;"","")</f>
        <v/>
      </c>
      <c r="I234" s="7" t="str">
        <f>IFERROR(INDEX(Modelos!$E$2:$E$301,MATCH($B234,Modelos!$C$2:$C$301,0))&amp;"","")</f>
        <v/>
      </c>
      <c r="J234" s="7" t="str">
        <f>IFERROR(INDEX(Modelos!$F$2:$F$301,MATCH($B234,Modelos!$C$2:$C$301,0))&amp;"","")</f>
        <v/>
      </c>
      <c r="K234" s="7" t="str">
        <f>IFERROR(INDEX(Modelos!$G$2:$G$301,MATCH($B234,Modelos!$C$2:$C$301,0))&amp;"","")</f>
        <v/>
      </c>
      <c r="L234" s="7" t="str">
        <f>IFERROR(INDEX(Diccionarios!$G$2:$G$201,MATCH($C234,Diccionarios!$H$2:$H$201,0))&amp;"","")</f>
        <v/>
      </c>
      <c r="M234" s="7" t="str">
        <f>IF(D234="","",D234&amp;"")</f>
        <v/>
      </c>
      <c r="N234" s="8" t="str">
        <f>IF($B234="","",IFERROR(INDEX(Modelos!$H$2:$H$301,MATCH($B234,Modelos!$C$2:$C$301,0)),""))</f>
        <v/>
      </c>
      <c r="O234" s="8" t="str">
        <f>IF($B234="","",IFERROR(INDEX(Modelos!$I$2:$I$301,MATCH($B234,Modelos!$C$2:$C$301,0)),""))</f>
        <v/>
      </c>
      <c r="P234" s="8" t="str">
        <f>IF($B234="","",IFERROR(INDEX(Modelos!$J$2:$J$301,MATCH($B234,Modelos!$C$2:$C$301,0)),""))</f>
        <v/>
      </c>
      <c r="Q234" s="7" t="str">
        <f>IFERROR(INDEX(Diccionarios!$B$2:$B$201,MATCH($A234,Diccionarios!$D$2:$D$201,0))&amp;"","")</f>
        <v/>
      </c>
      <c r="R234" s="7" t="str">
        <f>IFERROR(INDEX(Diccionarios!$C$2:$C$201,MATCH($A234,Diccionarios!$D$2:$D$201,0))&amp;"","")</f>
        <v/>
      </c>
      <c r="S234" s="7" t="str">
        <f>IFERROR(INDEX(Modelos!$K$2:$K$301,MATCH($B234,Modelos!$C$2:$C$301,0))&amp;"","")</f>
        <v/>
      </c>
      <c r="T234" s="7" t="str">
        <f>IFERROR(INDEX(Modelos!$L$2:$L$301,MATCH($B234,Modelos!$C$2:$C$301,0))&amp;"","")</f>
        <v/>
      </c>
    </row>
    <row r="235" spans="1:20" x14ac:dyDescent="0.25">
      <c r="A235" s="5"/>
      <c r="B235" s="5"/>
      <c r="C235" s="5"/>
      <c r="D235" s="6"/>
      <c r="E235" s="5"/>
      <c r="F235" s="7" t="str">
        <f>IF(AND(A235&lt;&gt;"",B235&lt;&gt;"",C235&lt;&gt;"",D235&lt;&gt;""),LEFT(A235,2)&amp;LEFT(B235,4)&amp;LEFT(C235,2)&amp;SUBSTITUTE(UPPER(D235),"Ú","U"),"")</f>
        <v/>
      </c>
      <c r="G235" s="7" t="str">
        <f>IFERROR(INDEX(Modelos!$B$2:$B$301,MATCH($B235,Modelos!$C$2:$C$301,0))&amp;"","")</f>
        <v/>
      </c>
      <c r="H235" s="7" t="str">
        <f>IFERROR(INDEX(Modelos!$D$2:$D$301,MATCH($B235,Modelos!$C$2:$C$301,0))&amp;"","")</f>
        <v/>
      </c>
      <c r="I235" s="7" t="str">
        <f>IFERROR(INDEX(Modelos!$E$2:$E$301,MATCH($B235,Modelos!$C$2:$C$301,0))&amp;"","")</f>
        <v/>
      </c>
      <c r="J235" s="7" t="str">
        <f>IFERROR(INDEX(Modelos!$F$2:$F$301,MATCH($B235,Modelos!$C$2:$C$301,0))&amp;"","")</f>
        <v/>
      </c>
      <c r="K235" s="7" t="str">
        <f>IFERROR(INDEX(Modelos!$G$2:$G$301,MATCH($B235,Modelos!$C$2:$C$301,0))&amp;"","")</f>
        <v/>
      </c>
      <c r="L235" s="7" t="str">
        <f>IFERROR(INDEX(Diccionarios!$G$2:$G$201,MATCH($C235,Diccionarios!$H$2:$H$201,0))&amp;"","")</f>
        <v/>
      </c>
      <c r="M235" s="7" t="str">
        <f>IF(D235="","",D235&amp;"")</f>
        <v/>
      </c>
      <c r="N235" s="8" t="str">
        <f>IF($B235="","",IFERROR(INDEX(Modelos!$H$2:$H$301,MATCH($B235,Modelos!$C$2:$C$301,0)),""))</f>
        <v/>
      </c>
      <c r="O235" s="8" t="str">
        <f>IF($B235="","",IFERROR(INDEX(Modelos!$I$2:$I$301,MATCH($B235,Modelos!$C$2:$C$301,0)),""))</f>
        <v/>
      </c>
      <c r="P235" s="8" t="str">
        <f>IF($B235="","",IFERROR(INDEX(Modelos!$J$2:$J$301,MATCH($B235,Modelos!$C$2:$C$301,0)),""))</f>
        <v/>
      </c>
      <c r="Q235" s="7" t="str">
        <f>IFERROR(INDEX(Diccionarios!$B$2:$B$201,MATCH($A235,Diccionarios!$D$2:$D$201,0))&amp;"","")</f>
        <v/>
      </c>
      <c r="R235" s="7" t="str">
        <f>IFERROR(INDEX(Diccionarios!$C$2:$C$201,MATCH($A235,Diccionarios!$D$2:$D$201,0))&amp;"","")</f>
        <v/>
      </c>
      <c r="S235" s="7" t="str">
        <f>IFERROR(INDEX(Modelos!$K$2:$K$301,MATCH($B235,Modelos!$C$2:$C$301,0))&amp;"","")</f>
        <v/>
      </c>
      <c r="T235" s="7" t="str">
        <f>IFERROR(INDEX(Modelos!$L$2:$L$301,MATCH($B235,Modelos!$C$2:$C$301,0))&amp;"","")</f>
        <v/>
      </c>
    </row>
    <row r="236" spans="1:20" x14ac:dyDescent="0.25">
      <c r="A236" s="5"/>
      <c r="B236" s="5"/>
      <c r="C236" s="5"/>
      <c r="D236" s="6"/>
      <c r="E236" s="5"/>
      <c r="F236" s="7" t="str">
        <f>IF(AND(A236&lt;&gt;"",B236&lt;&gt;"",C236&lt;&gt;"",D236&lt;&gt;""),LEFT(A236,2)&amp;LEFT(B236,4)&amp;LEFT(C236,2)&amp;SUBSTITUTE(UPPER(D236),"Ú","U"),"")</f>
        <v/>
      </c>
      <c r="G236" s="7" t="str">
        <f>IFERROR(INDEX(Modelos!$B$2:$B$301,MATCH($B236,Modelos!$C$2:$C$301,0))&amp;"","")</f>
        <v/>
      </c>
      <c r="H236" s="7" t="str">
        <f>IFERROR(INDEX(Modelos!$D$2:$D$301,MATCH($B236,Modelos!$C$2:$C$301,0))&amp;"","")</f>
        <v/>
      </c>
      <c r="I236" s="7" t="str">
        <f>IFERROR(INDEX(Modelos!$E$2:$E$301,MATCH($B236,Modelos!$C$2:$C$301,0))&amp;"","")</f>
        <v/>
      </c>
      <c r="J236" s="7" t="str">
        <f>IFERROR(INDEX(Modelos!$F$2:$F$301,MATCH($B236,Modelos!$C$2:$C$301,0))&amp;"","")</f>
        <v/>
      </c>
      <c r="K236" s="7" t="str">
        <f>IFERROR(INDEX(Modelos!$G$2:$G$301,MATCH($B236,Modelos!$C$2:$C$301,0))&amp;"","")</f>
        <v/>
      </c>
      <c r="L236" s="7" t="str">
        <f>IFERROR(INDEX(Diccionarios!$G$2:$G$201,MATCH($C236,Diccionarios!$H$2:$H$201,0))&amp;"","")</f>
        <v/>
      </c>
      <c r="M236" s="7" t="str">
        <f>IF(D236="","",D236&amp;"")</f>
        <v/>
      </c>
      <c r="N236" s="8" t="str">
        <f>IF($B236="","",IFERROR(INDEX(Modelos!$H$2:$H$301,MATCH($B236,Modelos!$C$2:$C$301,0)),""))</f>
        <v/>
      </c>
      <c r="O236" s="8" t="str">
        <f>IF($B236="","",IFERROR(INDEX(Modelos!$I$2:$I$301,MATCH($B236,Modelos!$C$2:$C$301,0)),""))</f>
        <v/>
      </c>
      <c r="P236" s="8" t="str">
        <f>IF($B236="","",IFERROR(INDEX(Modelos!$J$2:$J$301,MATCH($B236,Modelos!$C$2:$C$301,0)),""))</f>
        <v/>
      </c>
      <c r="Q236" s="7" t="str">
        <f>IFERROR(INDEX(Diccionarios!$B$2:$B$201,MATCH($A236,Diccionarios!$D$2:$D$201,0))&amp;"","")</f>
        <v/>
      </c>
      <c r="R236" s="7" t="str">
        <f>IFERROR(INDEX(Diccionarios!$C$2:$C$201,MATCH($A236,Diccionarios!$D$2:$D$201,0))&amp;"","")</f>
        <v/>
      </c>
      <c r="S236" s="7" t="str">
        <f>IFERROR(INDEX(Modelos!$K$2:$K$301,MATCH($B236,Modelos!$C$2:$C$301,0))&amp;"","")</f>
        <v/>
      </c>
      <c r="T236" s="7" t="str">
        <f>IFERROR(INDEX(Modelos!$L$2:$L$301,MATCH($B236,Modelos!$C$2:$C$301,0))&amp;"","")</f>
        <v/>
      </c>
    </row>
    <row r="237" spans="1:20" x14ac:dyDescent="0.25">
      <c r="A237" s="5"/>
      <c r="B237" s="5"/>
      <c r="C237" s="5"/>
      <c r="D237" s="6"/>
      <c r="E237" s="5"/>
      <c r="F237" s="7" t="str">
        <f>IF(AND(A237&lt;&gt;"",B237&lt;&gt;"",C237&lt;&gt;"",D237&lt;&gt;""),LEFT(A237,2)&amp;LEFT(B237,4)&amp;LEFT(C237,2)&amp;SUBSTITUTE(UPPER(D237),"Ú","U"),"")</f>
        <v/>
      </c>
      <c r="G237" s="7" t="str">
        <f>IFERROR(INDEX(Modelos!$B$2:$B$301,MATCH($B237,Modelos!$C$2:$C$301,0))&amp;"","")</f>
        <v/>
      </c>
      <c r="H237" s="7" t="str">
        <f>IFERROR(INDEX(Modelos!$D$2:$D$301,MATCH($B237,Modelos!$C$2:$C$301,0))&amp;"","")</f>
        <v/>
      </c>
      <c r="I237" s="7" t="str">
        <f>IFERROR(INDEX(Modelos!$E$2:$E$301,MATCH($B237,Modelos!$C$2:$C$301,0))&amp;"","")</f>
        <v/>
      </c>
      <c r="J237" s="7" t="str">
        <f>IFERROR(INDEX(Modelos!$F$2:$F$301,MATCH($B237,Modelos!$C$2:$C$301,0))&amp;"","")</f>
        <v/>
      </c>
      <c r="K237" s="7" t="str">
        <f>IFERROR(INDEX(Modelos!$G$2:$G$301,MATCH($B237,Modelos!$C$2:$C$301,0))&amp;"","")</f>
        <v/>
      </c>
      <c r="L237" s="7" t="str">
        <f>IFERROR(INDEX(Diccionarios!$G$2:$G$201,MATCH($C237,Diccionarios!$H$2:$H$201,0))&amp;"","")</f>
        <v/>
      </c>
      <c r="M237" s="7" t="str">
        <f>IF(D237="","",D237&amp;"")</f>
        <v/>
      </c>
      <c r="N237" s="8" t="str">
        <f>IF($B237="","",IFERROR(INDEX(Modelos!$H$2:$H$301,MATCH($B237,Modelos!$C$2:$C$301,0)),""))</f>
        <v/>
      </c>
      <c r="O237" s="8" t="str">
        <f>IF($B237="","",IFERROR(INDEX(Modelos!$I$2:$I$301,MATCH($B237,Modelos!$C$2:$C$301,0)),""))</f>
        <v/>
      </c>
      <c r="P237" s="8" t="str">
        <f>IF($B237="","",IFERROR(INDEX(Modelos!$J$2:$J$301,MATCH($B237,Modelos!$C$2:$C$301,0)),""))</f>
        <v/>
      </c>
      <c r="Q237" s="7" t="str">
        <f>IFERROR(INDEX(Diccionarios!$B$2:$B$201,MATCH($A237,Diccionarios!$D$2:$D$201,0))&amp;"","")</f>
        <v/>
      </c>
      <c r="R237" s="7" t="str">
        <f>IFERROR(INDEX(Diccionarios!$C$2:$C$201,MATCH($A237,Diccionarios!$D$2:$D$201,0))&amp;"","")</f>
        <v/>
      </c>
      <c r="S237" s="7" t="str">
        <f>IFERROR(INDEX(Modelos!$K$2:$K$301,MATCH($B237,Modelos!$C$2:$C$301,0))&amp;"","")</f>
        <v/>
      </c>
      <c r="T237" s="7" t="str">
        <f>IFERROR(INDEX(Modelos!$L$2:$L$301,MATCH($B237,Modelos!$C$2:$C$301,0))&amp;"","")</f>
        <v/>
      </c>
    </row>
    <row r="238" spans="1:20" x14ac:dyDescent="0.25">
      <c r="A238" s="5"/>
      <c r="B238" s="5"/>
      <c r="C238" s="5"/>
      <c r="D238" s="6"/>
      <c r="E238" s="5"/>
      <c r="F238" s="7" t="str">
        <f>IF(AND(A238&lt;&gt;"",B238&lt;&gt;"",C238&lt;&gt;"",D238&lt;&gt;""),LEFT(A238,2)&amp;LEFT(B238,4)&amp;LEFT(C238,2)&amp;SUBSTITUTE(UPPER(D238),"Ú","U"),"")</f>
        <v/>
      </c>
      <c r="G238" s="7" t="str">
        <f>IFERROR(INDEX(Modelos!$B$2:$B$301,MATCH($B238,Modelos!$C$2:$C$301,0))&amp;"","")</f>
        <v/>
      </c>
      <c r="H238" s="7" t="str">
        <f>IFERROR(INDEX(Modelos!$D$2:$D$301,MATCH($B238,Modelos!$C$2:$C$301,0))&amp;"","")</f>
        <v/>
      </c>
      <c r="I238" s="7" t="str">
        <f>IFERROR(INDEX(Modelos!$E$2:$E$301,MATCH($B238,Modelos!$C$2:$C$301,0))&amp;"","")</f>
        <v/>
      </c>
      <c r="J238" s="7" t="str">
        <f>IFERROR(INDEX(Modelos!$F$2:$F$301,MATCH($B238,Modelos!$C$2:$C$301,0))&amp;"","")</f>
        <v/>
      </c>
      <c r="K238" s="7" t="str">
        <f>IFERROR(INDEX(Modelos!$G$2:$G$301,MATCH($B238,Modelos!$C$2:$C$301,0))&amp;"","")</f>
        <v/>
      </c>
      <c r="L238" s="7" t="str">
        <f>IFERROR(INDEX(Diccionarios!$G$2:$G$201,MATCH($C238,Diccionarios!$H$2:$H$201,0))&amp;"","")</f>
        <v/>
      </c>
      <c r="M238" s="7" t="str">
        <f>IF(D238="","",D238&amp;"")</f>
        <v/>
      </c>
      <c r="N238" s="8" t="str">
        <f>IF($B238="","",IFERROR(INDEX(Modelos!$H$2:$H$301,MATCH($B238,Modelos!$C$2:$C$301,0)),""))</f>
        <v/>
      </c>
      <c r="O238" s="8" t="str">
        <f>IF($B238="","",IFERROR(INDEX(Modelos!$I$2:$I$301,MATCH($B238,Modelos!$C$2:$C$301,0)),""))</f>
        <v/>
      </c>
      <c r="P238" s="8" t="str">
        <f>IF($B238="","",IFERROR(INDEX(Modelos!$J$2:$J$301,MATCH($B238,Modelos!$C$2:$C$301,0)),""))</f>
        <v/>
      </c>
      <c r="Q238" s="7" t="str">
        <f>IFERROR(INDEX(Diccionarios!$B$2:$B$201,MATCH($A238,Diccionarios!$D$2:$D$201,0))&amp;"","")</f>
        <v/>
      </c>
      <c r="R238" s="7" t="str">
        <f>IFERROR(INDEX(Diccionarios!$C$2:$C$201,MATCH($A238,Diccionarios!$D$2:$D$201,0))&amp;"","")</f>
        <v/>
      </c>
      <c r="S238" s="7" t="str">
        <f>IFERROR(INDEX(Modelos!$K$2:$K$301,MATCH($B238,Modelos!$C$2:$C$301,0))&amp;"","")</f>
        <v/>
      </c>
      <c r="T238" s="7" t="str">
        <f>IFERROR(INDEX(Modelos!$L$2:$L$301,MATCH($B238,Modelos!$C$2:$C$301,0))&amp;"","")</f>
        <v/>
      </c>
    </row>
    <row r="239" spans="1:20" x14ac:dyDescent="0.25">
      <c r="A239" s="5"/>
      <c r="B239" s="5"/>
      <c r="C239" s="5"/>
      <c r="D239" s="6"/>
      <c r="E239" s="5"/>
      <c r="F239" s="7" t="str">
        <f>IF(AND(A239&lt;&gt;"",B239&lt;&gt;"",C239&lt;&gt;"",D239&lt;&gt;""),LEFT(A239,2)&amp;LEFT(B239,4)&amp;LEFT(C239,2)&amp;SUBSTITUTE(UPPER(D239),"Ú","U"),"")</f>
        <v/>
      </c>
      <c r="G239" s="7" t="str">
        <f>IFERROR(INDEX(Modelos!$B$2:$B$301,MATCH($B239,Modelos!$C$2:$C$301,0))&amp;"","")</f>
        <v/>
      </c>
      <c r="H239" s="7" t="str">
        <f>IFERROR(INDEX(Modelos!$D$2:$D$301,MATCH($B239,Modelos!$C$2:$C$301,0))&amp;"","")</f>
        <v/>
      </c>
      <c r="I239" s="7" t="str">
        <f>IFERROR(INDEX(Modelos!$E$2:$E$301,MATCH($B239,Modelos!$C$2:$C$301,0))&amp;"","")</f>
        <v/>
      </c>
      <c r="J239" s="7" t="str">
        <f>IFERROR(INDEX(Modelos!$F$2:$F$301,MATCH($B239,Modelos!$C$2:$C$301,0))&amp;"","")</f>
        <v/>
      </c>
      <c r="K239" s="7" t="str">
        <f>IFERROR(INDEX(Modelos!$G$2:$G$301,MATCH($B239,Modelos!$C$2:$C$301,0))&amp;"","")</f>
        <v/>
      </c>
      <c r="L239" s="7" t="str">
        <f>IFERROR(INDEX(Diccionarios!$G$2:$G$201,MATCH($C239,Diccionarios!$H$2:$H$201,0))&amp;"","")</f>
        <v/>
      </c>
      <c r="M239" s="7" t="str">
        <f>IF(D239="","",D239&amp;"")</f>
        <v/>
      </c>
      <c r="N239" s="8" t="str">
        <f>IF($B239="","",IFERROR(INDEX(Modelos!$H$2:$H$301,MATCH($B239,Modelos!$C$2:$C$301,0)),""))</f>
        <v/>
      </c>
      <c r="O239" s="8" t="str">
        <f>IF($B239="","",IFERROR(INDEX(Modelos!$I$2:$I$301,MATCH($B239,Modelos!$C$2:$C$301,0)),""))</f>
        <v/>
      </c>
      <c r="P239" s="8" t="str">
        <f>IF($B239="","",IFERROR(INDEX(Modelos!$J$2:$J$301,MATCH($B239,Modelos!$C$2:$C$301,0)),""))</f>
        <v/>
      </c>
      <c r="Q239" s="7" t="str">
        <f>IFERROR(INDEX(Diccionarios!$B$2:$B$201,MATCH($A239,Diccionarios!$D$2:$D$201,0))&amp;"","")</f>
        <v/>
      </c>
      <c r="R239" s="7" t="str">
        <f>IFERROR(INDEX(Diccionarios!$C$2:$C$201,MATCH($A239,Diccionarios!$D$2:$D$201,0))&amp;"","")</f>
        <v/>
      </c>
      <c r="S239" s="7" t="str">
        <f>IFERROR(INDEX(Modelos!$K$2:$K$301,MATCH($B239,Modelos!$C$2:$C$301,0))&amp;"","")</f>
        <v/>
      </c>
      <c r="T239" s="7" t="str">
        <f>IFERROR(INDEX(Modelos!$L$2:$L$301,MATCH($B239,Modelos!$C$2:$C$301,0))&amp;"","")</f>
        <v/>
      </c>
    </row>
    <row r="240" spans="1:20" x14ac:dyDescent="0.25">
      <c r="A240" s="5"/>
      <c r="B240" s="5"/>
      <c r="C240" s="5"/>
      <c r="D240" s="6"/>
      <c r="E240" s="5"/>
      <c r="F240" s="7" t="str">
        <f>IF(AND(A240&lt;&gt;"",B240&lt;&gt;"",C240&lt;&gt;"",D240&lt;&gt;""),LEFT(A240,2)&amp;LEFT(B240,4)&amp;LEFT(C240,2)&amp;SUBSTITUTE(UPPER(D240),"Ú","U"),"")</f>
        <v/>
      </c>
      <c r="G240" s="7" t="str">
        <f>IFERROR(INDEX(Modelos!$B$2:$B$301,MATCH($B240,Modelos!$C$2:$C$301,0))&amp;"","")</f>
        <v/>
      </c>
      <c r="H240" s="7" t="str">
        <f>IFERROR(INDEX(Modelos!$D$2:$D$301,MATCH($B240,Modelos!$C$2:$C$301,0))&amp;"","")</f>
        <v/>
      </c>
      <c r="I240" s="7" t="str">
        <f>IFERROR(INDEX(Modelos!$E$2:$E$301,MATCH($B240,Modelos!$C$2:$C$301,0))&amp;"","")</f>
        <v/>
      </c>
      <c r="J240" s="7" t="str">
        <f>IFERROR(INDEX(Modelos!$F$2:$F$301,MATCH($B240,Modelos!$C$2:$C$301,0))&amp;"","")</f>
        <v/>
      </c>
      <c r="K240" s="7" t="str">
        <f>IFERROR(INDEX(Modelos!$G$2:$G$301,MATCH($B240,Modelos!$C$2:$C$301,0))&amp;"","")</f>
        <v/>
      </c>
      <c r="L240" s="7" t="str">
        <f>IFERROR(INDEX(Diccionarios!$G$2:$G$201,MATCH($C240,Diccionarios!$H$2:$H$201,0))&amp;"","")</f>
        <v/>
      </c>
      <c r="M240" s="7" t="str">
        <f>IF(D240="","",D240&amp;"")</f>
        <v/>
      </c>
      <c r="N240" s="8" t="str">
        <f>IF($B240="","",IFERROR(INDEX(Modelos!$H$2:$H$301,MATCH($B240,Modelos!$C$2:$C$301,0)),""))</f>
        <v/>
      </c>
      <c r="O240" s="8" t="str">
        <f>IF($B240="","",IFERROR(INDEX(Modelos!$I$2:$I$301,MATCH($B240,Modelos!$C$2:$C$301,0)),""))</f>
        <v/>
      </c>
      <c r="P240" s="8" t="str">
        <f>IF($B240="","",IFERROR(INDEX(Modelos!$J$2:$J$301,MATCH($B240,Modelos!$C$2:$C$301,0)),""))</f>
        <v/>
      </c>
      <c r="Q240" s="7" t="str">
        <f>IFERROR(INDEX(Diccionarios!$B$2:$B$201,MATCH($A240,Diccionarios!$D$2:$D$201,0))&amp;"","")</f>
        <v/>
      </c>
      <c r="R240" s="7" t="str">
        <f>IFERROR(INDEX(Diccionarios!$C$2:$C$201,MATCH($A240,Diccionarios!$D$2:$D$201,0))&amp;"","")</f>
        <v/>
      </c>
      <c r="S240" s="7" t="str">
        <f>IFERROR(INDEX(Modelos!$K$2:$K$301,MATCH($B240,Modelos!$C$2:$C$301,0))&amp;"","")</f>
        <v/>
      </c>
      <c r="T240" s="7" t="str">
        <f>IFERROR(INDEX(Modelos!$L$2:$L$301,MATCH($B240,Modelos!$C$2:$C$301,0))&amp;"","")</f>
        <v/>
      </c>
    </row>
    <row r="241" spans="1:20" x14ac:dyDescent="0.25">
      <c r="A241" s="5"/>
      <c r="B241" s="5"/>
      <c r="C241" s="5"/>
      <c r="D241" s="6"/>
      <c r="E241" s="5"/>
      <c r="F241" s="7" t="str">
        <f>IF(AND(A241&lt;&gt;"",B241&lt;&gt;"",C241&lt;&gt;"",D241&lt;&gt;""),LEFT(A241,2)&amp;LEFT(B241,4)&amp;LEFT(C241,2)&amp;SUBSTITUTE(UPPER(D241),"Ú","U"),"")</f>
        <v/>
      </c>
      <c r="G241" s="7" t="str">
        <f>IFERROR(INDEX(Modelos!$B$2:$B$301,MATCH($B241,Modelos!$C$2:$C$301,0))&amp;"","")</f>
        <v/>
      </c>
      <c r="H241" s="7" t="str">
        <f>IFERROR(INDEX(Modelos!$D$2:$D$301,MATCH($B241,Modelos!$C$2:$C$301,0))&amp;"","")</f>
        <v/>
      </c>
      <c r="I241" s="7" t="str">
        <f>IFERROR(INDEX(Modelos!$E$2:$E$301,MATCH($B241,Modelos!$C$2:$C$301,0))&amp;"","")</f>
        <v/>
      </c>
      <c r="J241" s="7" t="str">
        <f>IFERROR(INDEX(Modelos!$F$2:$F$301,MATCH($B241,Modelos!$C$2:$C$301,0))&amp;"","")</f>
        <v/>
      </c>
      <c r="K241" s="7" t="str">
        <f>IFERROR(INDEX(Modelos!$G$2:$G$301,MATCH($B241,Modelos!$C$2:$C$301,0))&amp;"","")</f>
        <v/>
      </c>
      <c r="L241" s="7" t="str">
        <f>IFERROR(INDEX(Diccionarios!$G$2:$G$201,MATCH($C241,Diccionarios!$H$2:$H$201,0))&amp;"","")</f>
        <v/>
      </c>
      <c r="M241" s="7" t="str">
        <f>IF(D241="","",D241&amp;"")</f>
        <v/>
      </c>
      <c r="N241" s="8" t="str">
        <f>IF($B241="","",IFERROR(INDEX(Modelos!$H$2:$H$301,MATCH($B241,Modelos!$C$2:$C$301,0)),""))</f>
        <v/>
      </c>
      <c r="O241" s="8" t="str">
        <f>IF($B241="","",IFERROR(INDEX(Modelos!$I$2:$I$301,MATCH($B241,Modelos!$C$2:$C$301,0)),""))</f>
        <v/>
      </c>
      <c r="P241" s="8" t="str">
        <f>IF($B241="","",IFERROR(INDEX(Modelos!$J$2:$J$301,MATCH($B241,Modelos!$C$2:$C$301,0)),""))</f>
        <v/>
      </c>
      <c r="Q241" s="7" t="str">
        <f>IFERROR(INDEX(Diccionarios!$B$2:$B$201,MATCH($A241,Diccionarios!$D$2:$D$201,0))&amp;"","")</f>
        <v/>
      </c>
      <c r="R241" s="7" t="str">
        <f>IFERROR(INDEX(Diccionarios!$C$2:$C$201,MATCH($A241,Diccionarios!$D$2:$D$201,0))&amp;"","")</f>
        <v/>
      </c>
      <c r="S241" s="7" t="str">
        <f>IFERROR(INDEX(Modelos!$K$2:$K$301,MATCH($B241,Modelos!$C$2:$C$301,0))&amp;"","")</f>
        <v/>
      </c>
      <c r="T241" s="7" t="str">
        <f>IFERROR(INDEX(Modelos!$L$2:$L$301,MATCH($B241,Modelos!$C$2:$C$301,0))&amp;"","")</f>
        <v/>
      </c>
    </row>
    <row r="242" spans="1:20" x14ac:dyDescent="0.25">
      <c r="A242" s="5"/>
      <c r="B242" s="5"/>
      <c r="C242" s="5"/>
      <c r="D242" s="6"/>
      <c r="E242" s="5"/>
      <c r="F242" s="7" t="str">
        <f>IF(AND(A242&lt;&gt;"",B242&lt;&gt;"",C242&lt;&gt;"",D242&lt;&gt;""),LEFT(A242,2)&amp;LEFT(B242,4)&amp;LEFT(C242,2)&amp;SUBSTITUTE(UPPER(D242),"Ú","U"),"")</f>
        <v/>
      </c>
      <c r="G242" s="7" t="str">
        <f>IFERROR(INDEX(Modelos!$B$2:$B$301,MATCH($B242,Modelos!$C$2:$C$301,0))&amp;"","")</f>
        <v/>
      </c>
      <c r="H242" s="7" t="str">
        <f>IFERROR(INDEX(Modelos!$D$2:$D$301,MATCH($B242,Modelos!$C$2:$C$301,0))&amp;"","")</f>
        <v/>
      </c>
      <c r="I242" s="7" t="str">
        <f>IFERROR(INDEX(Modelos!$E$2:$E$301,MATCH($B242,Modelos!$C$2:$C$301,0))&amp;"","")</f>
        <v/>
      </c>
      <c r="J242" s="7" t="str">
        <f>IFERROR(INDEX(Modelos!$F$2:$F$301,MATCH($B242,Modelos!$C$2:$C$301,0))&amp;"","")</f>
        <v/>
      </c>
      <c r="K242" s="7" t="str">
        <f>IFERROR(INDEX(Modelos!$G$2:$G$301,MATCH($B242,Modelos!$C$2:$C$301,0))&amp;"","")</f>
        <v/>
      </c>
      <c r="L242" s="7" t="str">
        <f>IFERROR(INDEX(Diccionarios!$G$2:$G$201,MATCH($C242,Diccionarios!$H$2:$H$201,0))&amp;"","")</f>
        <v/>
      </c>
      <c r="M242" s="7" t="str">
        <f>IF(D242="","",D242&amp;"")</f>
        <v/>
      </c>
      <c r="N242" s="8" t="str">
        <f>IF($B242="","",IFERROR(INDEX(Modelos!$H$2:$H$301,MATCH($B242,Modelos!$C$2:$C$301,0)),""))</f>
        <v/>
      </c>
      <c r="O242" s="8" t="str">
        <f>IF($B242="","",IFERROR(INDEX(Modelos!$I$2:$I$301,MATCH($B242,Modelos!$C$2:$C$301,0)),""))</f>
        <v/>
      </c>
      <c r="P242" s="8" t="str">
        <f>IF($B242="","",IFERROR(INDEX(Modelos!$J$2:$J$301,MATCH($B242,Modelos!$C$2:$C$301,0)),""))</f>
        <v/>
      </c>
      <c r="Q242" s="7" t="str">
        <f>IFERROR(INDEX(Diccionarios!$B$2:$B$201,MATCH($A242,Diccionarios!$D$2:$D$201,0))&amp;"","")</f>
        <v/>
      </c>
      <c r="R242" s="7" t="str">
        <f>IFERROR(INDEX(Diccionarios!$C$2:$C$201,MATCH($A242,Diccionarios!$D$2:$D$201,0))&amp;"","")</f>
        <v/>
      </c>
      <c r="S242" s="7" t="str">
        <f>IFERROR(INDEX(Modelos!$K$2:$K$301,MATCH($B242,Modelos!$C$2:$C$301,0))&amp;"","")</f>
        <v/>
      </c>
      <c r="T242" s="7" t="str">
        <f>IFERROR(INDEX(Modelos!$L$2:$L$301,MATCH($B242,Modelos!$C$2:$C$301,0))&amp;"","")</f>
        <v/>
      </c>
    </row>
    <row r="243" spans="1:20" x14ac:dyDescent="0.25">
      <c r="A243" s="5"/>
      <c r="B243" s="5"/>
      <c r="C243" s="5"/>
      <c r="D243" s="6"/>
      <c r="E243" s="5"/>
      <c r="F243" s="7" t="str">
        <f>IF(AND(A243&lt;&gt;"",B243&lt;&gt;"",C243&lt;&gt;"",D243&lt;&gt;""),LEFT(A243,2)&amp;LEFT(B243,4)&amp;LEFT(C243,2)&amp;SUBSTITUTE(UPPER(D243),"Ú","U"),"")</f>
        <v/>
      </c>
      <c r="G243" s="7" t="str">
        <f>IFERROR(INDEX(Modelos!$B$2:$B$301,MATCH($B243,Modelos!$C$2:$C$301,0))&amp;"","")</f>
        <v/>
      </c>
      <c r="H243" s="7" t="str">
        <f>IFERROR(INDEX(Modelos!$D$2:$D$301,MATCH($B243,Modelos!$C$2:$C$301,0))&amp;"","")</f>
        <v/>
      </c>
      <c r="I243" s="7" t="str">
        <f>IFERROR(INDEX(Modelos!$E$2:$E$301,MATCH($B243,Modelos!$C$2:$C$301,0))&amp;"","")</f>
        <v/>
      </c>
      <c r="J243" s="7" t="str">
        <f>IFERROR(INDEX(Modelos!$F$2:$F$301,MATCH($B243,Modelos!$C$2:$C$301,0))&amp;"","")</f>
        <v/>
      </c>
      <c r="K243" s="7" t="str">
        <f>IFERROR(INDEX(Modelos!$G$2:$G$301,MATCH($B243,Modelos!$C$2:$C$301,0))&amp;"","")</f>
        <v/>
      </c>
      <c r="L243" s="7" t="str">
        <f>IFERROR(INDEX(Diccionarios!$G$2:$G$201,MATCH($C243,Diccionarios!$H$2:$H$201,0))&amp;"","")</f>
        <v/>
      </c>
      <c r="M243" s="7" t="str">
        <f>IF(D243="","",D243&amp;"")</f>
        <v/>
      </c>
      <c r="N243" s="8" t="str">
        <f>IF($B243="","",IFERROR(INDEX(Modelos!$H$2:$H$301,MATCH($B243,Modelos!$C$2:$C$301,0)),""))</f>
        <v/>
      </c>
      <c r="O243" s="8" t="str">
        <f>IF($B243="","",IFERROR(INDEX(Modelos!$I$2:$I$301,MATCH($B243,Modelos!$C$2:$C$301,0)),""))</f>
        <v/>
      </c>
      <c r="P243" s="8" t="str">
        <f>IF($B243="","",IFERROR(INDEX(Modelos!$J$2:$J$301,MATCH($B243,Modelos!$C$2:$C$301,0)),""))</f>
        <v/>
      </c>
      <c r="Q243" s="7" t="str">
        <f>IFERROR(INDEX(Diccionarios!$B$2:$B$201,MATCH($A243,Diccionarios!$D$2:$D$201,0))&amp;"","")</f>
        <v/>
      </c>
      <c r="R243" s="7" t="str">
        <f>IFERROR(INDEX(Diccionarios!$C$2:$C$201,MATCH($A243,Diccionarios!$D$2:$D$201,0))&amp;"","")</f>
        <v/>
      </c>
      <c r="S243" s="7" t="str">
        <f>IFERROR(INDEX(Modelos!$K$2:$K$301,MATCH($B243,Modelos!$C$2:$C$301,0))&amp;"","")</f>
        <v/>
      </c>
      <c r="T243" s="7" t="str">
        <f>IFERROR(INDEX(Modelos!$L$2:$L$301,MATCH($B243,Modelos!$C$2:$C$301,0))&amp;"","")</f>
        <v/>
      </c>
    </row>
    <row r="244" spans="1:20" x14ac:dyDescent="0.25">
      <c r="A244" s="5"/>
      <c r="B244" s="5"/>
      <c r="C244" s="5"/>
      <c r="D244" s="6"/>
      <c r="E244" s="5"/>
      <c r="F244" s="7" t="str">
        <f>IF(AND(A244&lt;&gt;"",B244&lt;&gt;"",C244&lt;&gt;"",D244&lt;&gt;""),LEFT(A244,2)&amp;LEFT(B244,4)&amp;LEFT(C244,2)&amp;SUBSTITUTE(UPPER(D244),"Ú","U"),"")</f>
        <v/>
      </c>
      <c r="G244" s="7" t="str">
        <f>IFERROR(INDEX(Modelos!$B$2:$B$301,MATCH($B244,Modelos!$C$2:$C$301,0))&amp;"","")</f>
        <v/>
      </c>
      <c r="H244" s="7" t="str">
        <f>IFERROR(INDEX(Modelos!$D$2:$D$301,MATCH($B244,Modelos!$C$2:$C$301,0))&amp;"","")</f>
        <v/>
      </c>
      <c r="I244" s="7" t="str">
        <f>IFERROR(INDEX(Modelos!$E$2:$E$301,MATCH($B244,Modelos!$C$2:$C$301,0))&amp;"","")</f>
        <v/>
      </c>
      <c r="J244" s="7" t="str">
        <f>IFERROR(INDEX(Modelos!$F$2:$F$301,MATCH($B244,Modelos!$C$2:$C$301,0))&amp;"","")</f>
        <v/>
      </c>
      <c r="K244" s="7" t="str">
        <f>IFERROR(INDEX(Modelos!$G$2:$G$301,MATCH($B244,Modelos!$C$2:$C$301,0))&amp;"","")</f>
        <v/>
      </c>
      <c r="L244" s="7" t="str">
        <f>IFERROR(INDEX(Diccionarios!$G$2:$G$201,MATCH($C244,Diccionarios!$H$2:$H$201,0))&amp;"","")</f>
        <v/>
      </c>
      <c r="M244" s="7" t="str">
        <f>IF(D244="","",D244&amp;"")</f>
        <v/>
      </c>
      <c r="N244" s="8" t="str">
        <f>IF($B244="","",IFERROR(INDEX(Modelos!$H$2:$H$301,MATCH($B244,Modelos!$C$2:$C$301,0)),""))</f>
        <v/>
      </c>
      <c r="O244" s="8" t="str">
        <f>IF($B244="","",IFERROR(INDEX(Modelos!$I$2:$I$301,MATCH($B244,Modelos!$C$2:$C$301,0)),""))</f>
        <v/>
      </c>
      <c r="P244" s="8" t="str">
        <f>IF($B244="","",IFERROR(INDEX(Modelos!$J$2:$J$301,MATCH($B244,Modelos!$C$2:$C$301,0)),""))</f>
        <v/>
      </c>
      <c r="Q244" s="7" t="str">
        <f>IFERROR(INDEX(Diccionarios!$B$2:$B$201,MATCH($A244,Diccionarios!$D$2:$D$201,0))&amp;"","")</f>
        <v/>
      </c>
      <c r="R244" s="7" t="str">
        <f>IFERROR(INDEX(Diccionarios!$C$2:$C$201,MATCH($A244,Diccionarios!$D$2:$D$201,0))&amp;"","")</f>
        <v/>
      </c>
      <c r="S244" s="7" t="str">
        <f>IFERROR(INDEX(Modelos!$K$2:$K$301,MATCH($B244,Modelos!$C$2:$C$301,0))&amp;"","")</f>
        <v/>
      </c>
      <c r="T244" s="7" t="str">
        <f>IFERROR(INDEX(Modelos!$L$2:$L$301,MATCH($B244,Modelos!$C$2:$C$301,0))&amp;"","")</f>
        <v/>
      </c>
    </row>
    <row r="245" spans="1:20" x14ac:dyDescent="0.25">
      <c r="A245" s="5"/>
      <c r="B245" s="5"/>
      <c r="C245" s="5"/>
      <c r="D245" s="6"/>
      <c r="E245" s="5"/>
      <c r="F245" s="7" t="str">
        <f>IF(AND(A245&lt;&gt;"",B245&lt;&gt;"",C245&lt;&gt;"",D245&lt;&gt;""),LEFT(A245,2)&amp;LEFT(B245,4)&amp;LEFT(C245,2)&amp;SUBSTITUTE(UPPER(D245),"Ú","U"),"")</f>
        <v/>
      </c>
      <c r="G245" s="7" t="str">
        <f>IFERROR(INDEX(Modelos!$B$2:$B$301,MATCH($B245,Modelos!$C$2:$C$301,0))&amp;"","")</f>
        <v/>
      </c>
      <c r="H245" s="7" t="str">
        <f>IFERROR(INDEX(Modelos!$D$2:$D$301,MATCH($B245,Modelos!$C$2:$C$301,0))&amp;"","")</f>
        <v/>
      </c>
      <c r="I245" s="7" t="str">
        <f>IFERROR(INDEX(Modelos!$E$2:$E$301,MATCH($B245,Modelos!$C$2:$C$301,0))&amp;"","")</f>
        <v/>
      </c>
      <c r="J245" s="7" t="str">
        <f>IFERROR(INDEX(Modelos!$F$2:$F$301,MATCH($B245,Modelos!$C$2:$C$301,0))&amp;"","")</f>
        <v/>
      </c>
      <c r="K245" s="7" t="str">
        <f>IFERROR(INDEX(Modelos!$G$2:$G$301,MATCH($B245,Modelos!$C$2:$C$301,0))&amp;"","")</f>
        <v/>
      </c>
      <c r="L245" s="7" t="str">
        <f>IFERROR(INDEX(Diccionarios!$G$2:$G$201,MATCH($C245,Diccionarios!$H$2:$H$201,0))&amp;"","")</f>
        <v/>
      </c>
      <c r="M245" s="7" t="str">
        <f>IF(D245="","",D245&amp;"")</f>
        <v/>
      </c>
      <c r="N245" s="8" t="str">
        <f>IF($B245="","",IFERROR(INDEX(Modelos!$H$2:$H$301,MATCH($B245,Modelos!$C$2:$C$301,0)),""))</f>
        <v/>
      </c>
      <c r="O245" s="8" t="str">
        <f>IF($B245="","",IFERROR(INDEX(Modelos!$I$2:$I$301,MATCH($B245,Modelos!$C$2:$C$301,0)),""))</f>
        <v/>
      </c>
      <c r="P245" s="8" t="str">
        <f>IF($B245="","",IFERROR(INDEX(Modelos!$J$2:$J$301,MATCH($B245,Modelos!$C$2:$C$301,0)),""))</f>
        <v/>
      </c>
      <c r="Q245" s="7" t="str">
        <f>IFERROR(INDEX(Diccionarios!$B$2:$B$201,MATCH($A245,Diccionarios!$D$2:$D$201,0))&amp;"","")</f>
        <v/>
      </c>
      <c r="R245" s="7" t="str">
        <f>IFERROR(INDEX(Diccionarios!$C$2:$C$201,MATCH($A245,Diccionarios!$D$2:$D$201,0))&amp;"","")</f>
        <v/>
      </c>
      <c r="S245" s="7" t="str">
        <f>IFERROR(INDEX(Modelos!$K$2:$K$301,MATCH($B245,Modelos!$C$2:$C$301,0))&amp;"","")</f>
        <v/>
      </c>
      <c r="T245" s="7" t="str">
        <f>IFERROR(INDEX(Modelos!$L$2:$L$301,MATCH($B245,Modelos!$C$2:$C$301,0))&amp;"","")</f>
        <v/>
      </c>
    </row>
    <row r="246" spans="1:20" x14ac:dyDescent="0.25">
      <c r="A246" s="5"/>
      <c r="B246" s="5"/>
      <c r="C246" s="5"/>
      <c r="D246" s="6"/>
      <c r="E246" s="5"/>
      <c r="F246" s="7" t="str">
        <f>IF(AND(A246&lt;&gt;"",B246&lt;&gt;"",C246&lt;&gt;"",D246&lt;&gt;""),LEFT(A246,2)&amp;LEFT(B246,4)&amp;LEFT(C246,2)&amp;SUBSTITUTE(UPPER(D246),"Ú","U"),"")</f>
        <v/>
      </c>
      <c r="G246" s="7" t="str">
        <f>IFERROR(INDEX(Modelos!$B$2:$B$301,MATCH($B246,Modelos!$C$2:$C$301,0))&amp;"","")</f>
        <v/>
      </c>
      <c r="H246" s="7" t="str">
        <f>IFERROR(INDEX(Modelos!$D$2:$D$301,MATCH($B246,Modelos!$C$2:$C$301,0))&amp;"","")</f>
        <v/>
      </c>
      <c r="I246" s="7" t="str">
        <f>IFERROR(INDEX(Modelos!$E$2:$E$301,MATCH($B246,Modelos!$C$2:$C$301,0))&amp;"","")</f>
        <v/>
      </c>
      <c r="J246" s="7" t="str">
        <f>IFERROR(INDEX(Modelos!$F$2:$F$301,MATCH($B246,Modelos!$C$2:$C$301,0))&amp;"","")</f>
        <v/>
      </c>
      <c r="K246" s="7" t="str">
        <f>IFERROR(INDEX(Modelos!$G$2:$G$301,MATCH($B246,Modelos!$C$2:$C$301,0))&amp;"","")</f>
        <v/>
      </c>
      <c r="L246" s="7" t="str">
        <f>IFERROR(INDEX(Diccionarios!$G$2:$G$201,MATCH($C246,Diccionarios!$H$2:$H$201,0))&amp;"","")</f>
        <v/>
      </c>
      <c r="M246" s="7" t="str">
        <f>IF(D246="","",D246&amp;"")</f>
        <v/>
      </c>
      <c r="N246" s="8" t="str">
        <f>IF($B246="","",IFERROR(INDEX(Modelos!$H$2:$H$301,MATCH($B246,Modelos!$C$2:$C$301,0)),""))</f>
        <v/>
      </c>
      <c r="O246" s="8" t="str">
        <f>IF($B246="","",IFERROR(INDEX(Modelos!$I$2:$I$301,MATCH($B246,Modelos!$C$2:$C$301,0)),""))</f>
        <v/>
      </c>
      <c r="P246" s="8" t="str">
        <f>IF($B246="","",IFERROR(INDEX(Modelos!$J$2:$J$301,MATCH($B246,Modelos!$C$2:$C$301,0)),""))</f>
        <v/>
      </c>
      <c r="Q246" s="7" t="str">
        <f>IFERROR(INDEX(Diccionarios!$B$2:$B$201,MATCH($A246,Diccionarios!$D$2:$D$201,0))&amp;"","")</f>
        <v/>
      </c>
      <c r="R246" s="7" t="str">
        <f>IFERROR(INDEX(Diccionarios!$C$2:$C$201,MATCH($A246,Diccionarios!$D$2:$D$201,0))&amp;"","")</f>
        <v/>
      </c>
      <c r="S246" s="7" t="str">
        <f>IFERROR(INDEX(Modelos!$K$2:$K$301,MATCH($B246,Modelos!$C$2:$C$301,0))&amp;"","")</f>
        <v/>
      </c>
      <c r="T246" s="7" t="str">
        <f>IFERROR(INDEX(Modelos!$L$2:$L$301,MATCH($B246,Modelos!$C$2:$C$301,0))&amp;"","")</f>
        <v/>
      </c>
    </row>
    <row r="247" spans="1:20" x14ac:dyDescent="0.25">
      <c r="A247" s="5"/>
      <c r="B247" s="5"/>
      <c r="C247" s="5"/>
      <c r="D247" s="6"/>
      <c r="E247" s="5"/>
      <c r="F247" s="7" t="str">
        <f>IF(AND(A247&lt;&gt;"",B247&lt;&gt;"",C247&lt;&gt;"",D247&lt;&gt;""),LEFT(A247,2)&amp;LEFT(B247,4)&amp;LEFT(C247,2)&amp;SUBSTITUTE(UPPER(D247),"Ú","U"),"")</f>
        <v/>
      </c>
      <c r="G247" s="7" t="str">
        <f>IFERROR(INDEX(Modelos!$B$2:$B$301,MATCH($B247,Modelos!$C$2:$C$301,0))&amp;"","")</f>
        <v/>
      </c>
      <c r="H247" s="7" t="str">
        <f>IFERROR(INDEX(Modelos!$D$2:$D$301,MATCH($B247,Modelos!$C$2:$C$301,0))&amp;"","")</f>
        <v/>
      </c>
      <c r="I247" s="7" t="str">
        <f>IFERROR(INDEX(Modelos!$E$2:$E$301,MATCH($B247,Modelos!$C$2:$C$301,0))&amp;"","")</f>
        <v/>
      </c>
      <c r="J247" s="7" t="str">
        <f>IFERROR(INDEX(Modelos!$F$2:$F$301,MATCH($B247,Modelos!$C$2:$C$301,0))&amp;"","")</f>
        <v/>
      </c>
      <c r="K247" s="7" t="str">
        <f>IFERROR(INDEX(Modelos!$G$2:$G$301,MATCH($B247,Modelos!$C$2:$C$301,0))&amp;"","")</f>
        <v/>
      </c>
      <c r="L247" s="7" t="str">
        <f>IFERROR(INDEX(Diccionarios!$G$2:$G$201,MATCH($C247,Diccionarios!$H$2:$H$201,0))&amp;"","")</f>
        <v/>
      </c>
      <c r="M247" s="7" t="str">
        <f>IF(D247="","",D247&amp;"")</f>
        <v/>
      </c>
      <c r="N247" s="8" t="str">
        <f>IF($B247="","",IFERROR(INDEX(Modelos!$H$2:$H$301,MATCH($B247,Modelos!$C$2:$C$301,0)),""))</f>
        <v/>
      </c>
      <c r="O247" s="8" t="str">
        <f>IF($B247="","",IFERROR(INDEX(Modelos!$I$2:$I$301,MATCH($B247,Modelos!$C$2:$C$301,0)),""))</f>
        <v/>
      </c>
      <c r="P247" s="8" t="str">
        <f>IF($B247="","",IFERROR(INDEX(Modelos!$J$2:$J$301,MATCH($B247,Modelos!$C$2:$C$301,0)),""))</f>
        <v/>
      </c>
      <c r="Q247" s="7" t="str">
        <f>IFERROR(INDEX(Diccionarios!$B$2:$B$201,MATCH($A247,Diccionarios!$D$2:$D$201,0))&amp;"","")</f>
        <v/>
      </c>
      <c r="R247" s="7" t="str">
        <f>IFERROR(INDEX(Diccionarios!$C$2:$C$201,MATCH($A247,Diccionarios!$D$2:$D$201,0))&amp;"","")</f>
        <v/>
      </c>
      <c r="S247" s="7" t="str">
        <f>IFERROR(INDEX(Modelos!$K$2:$K$301,MATCH($B247,Modelos!$C$2:$C$301,0))&amp;"","")</f>
        <v/>
      </c>
      <c r="T247" s="7" t="str">
        <f>IFERROR(INDEX(Modelos!$L$2:$L$301,MATCH($B247,Modelos!$C$2:$C$301,0))&amp;"","")</f>
        <v/>
      </c>
    </row>
    <row r="248" spans="1:20" x14ac:dyDescent="0.25">
      <c r="A248" s="5"/>
      <c r="B248" s="5"/>
      <c r="C248" s="5"/>
      <c r="D248" s="6"/>
      <c r="E248" s="5"/>
      <c r="F248" s="7" t="str">
        <f>IF(AND(A248&lt;&gt;"",B248&lt;&gt;"",C248&lt;&gt;"",D248&lt;&gt;""),LEFT(A248,2)&amp;LEFT(B248,4)&amp;LEFT(C248,2)&amp;SUBSTITUTE(UPPER(D248),"Ú","U"),"")</f>
        <v/>
      </c>
      <c r="G248" s="7" t="str">
        <f>IFERROR(INDEX(Modelos!$B$2:$B$301,MATCH($B248,Modelos!$C$2:$C$301,0))&amp;"","")</f>
        <v/>
      </c>
      <c r="H248" s="7" t="str">
        <f>IFERROR(INDEX(Modelos!$D$2:$D$301,MATCH($B248,Modelos!$C$2:$C$301,0))&amp;"","")</f>
        <v/>
      </c>
      <c r="I248" s="7" t="str">
        <f>IFERROR(INDEX(Modelos!$E$2:$E$301,MATCH($B248,Modelos!$C$2:$C$301,0))&amp;"","")</f>
        <v/>
      </c>
      <c r="J248" s="7" t="str">
        <f>IFERROR(INDEX(Modelos!$F$2:$F$301,MATCH($B248,Modelos!$C$2:$C$301,0))&amp;"","")</f>
        <v/>
      </c>
      <c r="K248" s="7" t="str">
        <f>IFERROR(INDEX(Modelos!$G$2:$G$301,MATCH($B248,Modelos!$C$2:$C$301,0))&amp;"","")</f>
        <v/>
      </c>
      <c r="L248" s="7" t="str">
        <f>IFERROR(INDEX(Diccionarios!$G$2:$G$201,MATCH($C248,Diccionarios!$H$2:$H$201,0))&amp;"","")</f>
        <v/>
      </c>
      <c r="M248" s="7" t="str">
        <f>IF(D248="","",D248&amp;"")</f>
        <v/>
      </c>
      <c r="N248" s="8" t="str">
        <f>IF($B248="","",IFERROR(INDEX(Modelos!$H$2:$H$301,MATCH($B248,Modelos!$C$2:$C$301,0)),""))</f>
        <v/>
      </c>
      <c r="O248" s="8" t="str">
        <f>IF($B248="","",IFERROR(INDEX(Modelos!$I$2:$I$301,MATCH($B248,Modelos!$C$2:$C$301,0)),""))</f>
        <v/>
      </c>
      <c r="P248" s="8" t="str">
        <f>IF($B248="","",IFERROR(INDEX(Modelos!$J$2:$J$301,MATCH($B248,Modelos!$C$2:$C$301,0)),""))</f>
        <v/>
      </c>
      <c r="Q248" s="7" t="str">
        <f>IFERROR(INDEX(Diccionarios!$B$2:$B$201,MATCH($A248,Diccionarios!$D$2:$D$201,0))&amp;"","")</f>
        <v/>
      </c>
      <c r="R248" s="7" t="str">
        <f>IFERROR(INDEX(Diccionarios!$C$2:$C$201,MATCH($A248,Diccionarios!$D$2:$D$201,0))&amp;"","")</f>
        <v/>
      </c>
      <c r="S248" s="7" t="str">
        <f>IFERROR(INDEX(Modelos!$K$2:$K$301,MATCH($B248,Modelos!$C$2:$C$301,0))&amp;"","")</f>
        <v/>
      </c>
      <c r="T248" s="7" t="str">
        <f>IFERROR(INDEX(Modelos!$L$2:$L$301,MATCH($B248,Modelos!$C$2:$C$301,0))&amp;"","")</f>
        <v/>
      </c>
    </row>
    <row r="249" spans="1:20" x14ac:dyDescent="0.25">
      <c r="A249" s="5"/>
      <c r="B249" s="5"/>
      <c r="C249" s="5"/>
      <c r="D249" s="6"/>
      <c r="E249" s="5"/>
      <c r="F249" s="7" t="str">
        <f>IF(AND(A249&lt;&gt;"",B249&lt;&gt;"",C249&lt;&gt;"",D249&lt;&gt;""),LEFT(A249,2)&amp;LEFT(B249,4)&amp;LEFT(C249,2)&amp;SUBSTITUTE(UPPER(D249),"Ú","U"),"")</f>
        <v/>
      </c>
      <c r="G249" s="7" t="str">
        <f>IFERROR(INDEX(Modelos!$B$2:$B$301,MATCH($B249,Modelos!$C$2:$C$301,0))&amp;"","")</f>
        <v/>
      </c>
      <c r="H249" s="7" t="str">
        <f>IFERROR(INDEX(Modelos!$D$2:$D$301,MATCH($B249,Modelos!$C$2:$C$301,0))&amp;"","")</f>
        <v/>
      </c>
      <c r="I249" s="7" t="str">
        <f>IFERROR(INDEX(Modelos!$E$2:$E$301,MATCH($B249,Modelos!$C$2:$C$301,0))&amp;"","")</f>
        <v/>
      </c>
      <c r="J249" s="7" t="str">
        <f>IFERROR(INDEX(Modelos!$F$2:$F$301,MATCH($B249,Modelos!$C$2:$C$301,0))&amp;"","")</f>
        <v/>
      </c>
      <c r="K249" s="7" t="str">
        <f>IFERROR(INDEX(Modelos!$G$2:$G$301,MATCH($B249,Modelos!$C$2:$C$301,0))&amp;"","")</f>
        <v/>
      </c>
      <c r="L249" s="7" t="str">
        <f>IFERROR(INDEX(Diccionarios!$G$2:$G$201,MATCH($C249,Diccionarios!$H$2:$H$201,0))&amp;"","")</f>
        <v/>
      </c>
      <c r="M249" s="7" t="str">
        <f>IF(D249="","",D249&amp;"")</f>
        <v/>
      </c>
      <c r="N249" s="8" t="str">
        <f>IF($B249="","",IFERROR(INDEX(Modelos!$H$2:$H$301,MATCH($B249,Modelos!$C$2:$C$301,0)),""))</f>
        <v/>
      </c>
      <c r="O249" s="8" t="str">
        <f>IF($B249="","",IFERROR(INDEX(Modelos!$I$2:$I$301,MATCH($B249,Modelos!$C$2:$C$301,0)),""))</f>
        <v/>
      </c>
      <c r="P249" s="8" t="str">
        <f>IF($B249="","",IFERROR(INDEX(Modelos!$J$2:$J$301,MATCH($B249,Modelos!$C$2:$C$301,0)),""))</f>
        <v/>
      </c>
      <c r="Q249" s="7" t="str">
        <f>IFERROR(INDEX(Diccionarios!$B$2:$B$201,MATCH($A249,Diccionarios!$D$2:$D$201,0))&amp;"","")</f>
        <v/>
      </c>
      <c r="R249" s="7" t="str">
        <f>IFERROR(INDEX(Diccionarios!$C$2:$C$201,MATCH($A249,Diccionarios!$D$2:$D$201,0))&amp;"","")</f>
        <v/>
      </c>
      <c r="S249" s="7" t="str">
        <f>IFERROR(INDEX(Modelos!$K$2:$K$301,MATCH($B249,Modelos!$C$2:$C$301,0))&amp;"","")</f>
        <v/>
      </c>
      <c r="T249" s="7" t="str">
        <f>IFERROR(INDEX(Modelos!$L$2:$L$301,MATCH($B249,Modelos!$C$2:$C$301,0))&amp;"","")</f>
        <v/>
      </c>
    </row>
    <row r="250" spans="1:20" x14ac:dyDescent="0.25">
      <c r="A250" s="5"/>
      <c r="B250" s="5"/>
      <c r="C250" s="5"/>
      <c r="D250" s="6"/>
      <c r="E250" s="5"/>
      <c r="F250" s="7" t="str">
        <f>IF(AND(A250&lt;&gt;"",B250&lt;&gt;"",C250&lt;&gt;"",D250&lt;&gt;""),LEFT(A250,2)&amp;LEFT(B250,4)&amp;LEFT(C250,2)&amp;SUBSTITUTE(UPPER(D250),"Ú","U"),"")</f>
        <v/>
      </c>
      <c r="G250" s="7" t="str">
        <f>IFERROR(INDEX(Modelos!$B$2:$B$301,MATCH($B250,Modelos!$C$2:$C$301,0))&amp;"","")</f>
        <v/>
      </c>
      <c r="H250" s="7" t="str">
        <f>IFERROR(INDEX(Modelos!$D$2:$D$301,MATCH($B250,Modelos!$C$2:$C$301,0))&amp;"","")</f>
        <v/>
      </c>
      <c r="I250" s="7" t="str">
        <f>IFERROR(INDEX(Modelos!$E$2:$E$301,MATCH($B250,Modelos!$C$2:$C$301,0))&amp;"","")</f>
        <v/>
      </c>
      <c r="J250" s="7" t="str">
        <f>IFERROR(INDEX(Modelos!$F$2:$F$301,MATCH($B250,Modelos!$C$2:$C$301,0))&amp;"","")</f>
        <v/>
      </c>
      <c r="K250" s="7" t="str">
        <f>IFERROR(INDEX(Modelos!$G$2:$G$301,MATCH($B250,Modelos!$C$2:$C$301,0))&amp;"","")</f>
        <v/>
      </c>
      <c r="L250" s="7" t="str">
        <f>IFERROR(INDEX(Diccionarios!$G$2:$G$201,MATCH($C250,Diccionarios!$H$2:$H$201,0))&amp;"","")</f>
        <v/>
      </c>
      <c r="M250" s="7" t="str">
        <f>IF(D250="","",D250&amp;"")</f>
        <v/>
      </c>
      <c r="N250" s="8" t="str">
        <f>IF($B250="","",IFERROR(INDEX(Modelos!$H$2:$H$301,MATCH($B250,Modelos!$C$2:$C$301,0)),""))</f>
        <v/>
      </c>
      <c r="O250" s="8" t="str">
        <f>IF($B250="","",IFERROR(INDEX(Modelos!$I$2:$I$301,MATCH($B250,Modelos!$C$2:$C$301,0)),""))</f>
        <v/>
      </c>
      <c r="P250" s="8" t="str">
        <f>IF($B250="","",IFERROR(INDEX(Modelos!$J$2:$J$301,MATCH($B250,Modelos!$C$2:$C$301,0)),""))</f>
        <v/>
      </c>
      <c r="Q250" s="7" t="str">
        <f>IFERROR(INDEX(Diccionarios!$B$2:$B$201,MATCH($A250,Diccionarios!$D$2:$D$201,0))&amp;"","")</f>
        <v/>
      </c>
      <c r="R250" s="7" t="str">
        <f>IFERROR(INDEX(Diccionarios!$C$2:$C$201,MATCH($A250,Diccionarios!$D$2:$D$201,0))&amp;"","")</f>
        <v/>
      </c>
      <c r="S250" s="7" t="str">
        <f>IFERROR(INDEX(Modelos!$K$2:$K$301,MATCH($B250,Modelos!$C$2:$C$301,0))&amp;"","")</f>
        <v/>
      </c>
      <c r="T250" s="7" t="str">
        <f>IFERROR(INDEX(Modelos!$L$2:$L$301,MATCH($B250,Modelos!$C$2:$C$301,0))&amp;"","")</f>
        <v/>
      </c>
    </row>
    <row r="251" spans="1:20" x14ac:dyDescent="0.25">
      <c r="A251" s="5"/>
      <c r="B251" s="5"/>
      <c r="C251" s="5"/>
      <c r="D251" s="6"/>
      <c r="E251" s="5"/>
      <c r="F251" s="7" t="str">
        <f>IF(AND(A251&lt;&gt;"",B251&lt;&gt;"",C251&lt;&gt;"",D251&lt;&gt;""),LEFT(A251,2)&amp;LEFT(B251,4)&amp;LEFT(C251,2)&amp;SUBSTITUTE(UPPER(D251),"Ú","U"),"")</f>
        <v/>
      </c>
      <c r="G251" s="7" t="str">
        <f>IFERROR(INDEX(Modelos!$B$2:$B$301,MATCH($B251,Modelos!$C$2:$C$301,0))&amp;"","")</f>
        <v/>
      </c>
      <c r="H251" s="7" t="str">
        <f>IFERROR(INDEX(Modelos!$D$2:$D$301,MATCH($B251,Modelos!$C$2:$C$301,0))&amp;"","")</f>
        <v/>
      </c>
      <c r="I251" s="7" t="str">
        <f>IFERROR(INDEX(Modelos!$E$2:$E$301,MATCH($B251,Modelos!$C$2:$C$301,0))&amp;"","")</f>
        <v/>
      </c>
      <c r="J251" s="7" t="str">
        <f>IFERROR(INDEX(Modelos!$F$2:$F$301,MATCH($B251,Modelos!$C$2:$C$301,0))&amp;"","")</f>
        <v/>
      </c>
      <c r="K251" s="7" t="str">
        <f>IFERROR(INDEX(Modelos!$G$2:$G$301,MATCH($B251,Modelos!$C$2:$C$301,0))&amp;"","")</f>
        <v/>
      </c>
      <c r="L251" s="7" t="str">
        <f>IFERROR(INDEX(Diccionarios!$G$2:$G$201,MATCH($C251,Diccionarios!$H$2:$H$201,0))&amp;"","")</f>
        <v/>
      </c>
      <c r="M251" s="7" t="str">
        <f>IF(D251="","",D251&amp;"")</f>
        <v/>
      </c>
      <c r="N251" s="8" t="str">
        <f>IF($B251="","",IFERROR(INDEX(Modelos!$H$2:$H$301,MATCH($B251,Modelos!$C$2:$C$301,0)),""))</f>
        <v/>
      </c>
      <c r="O251" s="8" t="str">
        <f>IF($B251="","",IFERROR(INDEX(Modelos!$I$2:$I$301,MATCH($B251,Modelos!$C$2:$C$301,0)),""))</f>
        <v/>
      </c>
      <c r="P251" s="8" t="str">
        <f>IF($B251="","",IFERROR(INDEX(Modelos!$J$2:$J$301,MATCH($B251,Modelos!$C$2:$C$301,0)),""))</f>
        <v/>
      </c>
      <c r="Q251" s="7" t="str">
        <f>IFERROR(INDEX(Diccionarios!$B$2:$B$201,MATCH($A251,Diccionarios!$D$2:$D$201,0))&amp;"","")</f>
        <v/>
      </c>
      <c r="R251" s="7" t="str">
        <f>IFERROR(INDEX(Diccionarios!$C$2:$C$201,MATCH($A251,Diccionarios!$D$2:$D$201,0))&amp;"","")</f>
        <v/>
      </c>
      <c r="S251" s="7" t="str">
        <f>IFERROR(INDEX(Modelos!$K$2:$K$301,MATCH($B251,Modelos!$C$2:$C$301,0))&amp;"","")</f>
        <v/>
      </c>
      <c r="T251" s="7" t="str">
        <f>IFERROR(INDEX(Modelos!$L$2:$L$301,MATCH($B251,Modelos!$C$2:$C$301,0))&amp;"","")</f>
        <v/>
      </c>
    </row>
    <row r="252" spans="1:20" x14ac:dyDescent="0.25">
      <c r="A252" s="5"/>
      <c r="B252" s="5"/>
      <c r="C252" s="5"/>
      <c r="D252" s="6"/>
      <c r="E252" s="5"/>
      <c r="F252" s="7" t="str">
        <f>IF(AND(A252&lt;&gt;"",B252&lt;&gt;"",C252&lt;&gt;"",D252&lt;&gt;""),LEFT(A252,2)&amp;LEFT(B252,4)&amp;LEFT(C252,2)&amp;SUBSTITUTE(UPPER(D252),"Ú","U"),"")</f>
        <v/>
      </c>
      <c r="G252" s="7" t="str">
        <f>IFERROR(INDEX(Modelos!$B$2:$B$301,MATCH($B252,Modelos!$C$2:$C$301,0))&amp;"","")</f>
        <v/>
      </c>
      <c r="H252" s="7" t="str">
        <f>IFERROR(INDEX(Modelos!$D$2:$D$301,MATCH($B252,Modelos!$C$2:$C$301,0))&amp;"","")</f>
        <v/>
      </c>
      <c r="I252" s="7" t="str">
        <f>IFERROR(INDEX(Modelos!$E$2:$E$301,MATCH($B252,Modelos!$C$2:$C$301,0))&amp;"","")</f>
        <v/>
      </c>
      <c r="J252" s="7" t="str">
        <f>IFERROR(INDEX(Modelos!$F$2:$F$301,MATCH($B252,Modelos!$C$2:$C$301,0))&amp;"","")</f>
        <v/>
      </c>
      <c r="K252" s="7" t="str">
        <f>IFERROR(INDEX(Modelos!$G$2:$G$301,MATCH($B252,Modelos!$C$2:$C$301,0))&amp;"","")</f>
        <v/>
      </c>
      <c r="L252" s="7" t="str">
        <f>IFERROR(INDEX(Diccionarios!$G$2:$G$201,MATCH($C252,Diccionarios!$H$2:$H$201,0))&amp;"","")</f>
        <v/>
      </c>
      <c r="M252" s="7" t="str">
        <f>IF(D252="","",D252&amp;"")</f>
        <v/>
      </c>
      <c r="N252" s="8" t="str">
        <f>IF($B252="","",IFERROR(INDEX(Modelos!$H$2:$H$301,MATCH($B252,Modelos!$C$2:$C$301,0)),""))</f>
        <v/>
      </c>
      <c r="O252" s="8" t="str">
        <f>IF($B252="","",IFERROR(INDEX(Modelos!$I$2:$I$301,MATCH($B252,Modelos!$C$2:$C$301,0)),""))</f>
        <v/>
      </c>
      <c r="P252" s="8" t="str">
        <f>IF($B252="","",IFERROR(INDEX(Modelos!$J$2:$J$301,MATCH($B252,Modelos!$C$2:$C$301,0)),""))</f>
        <v/>
      </c>
      <c r="Q252" s="7" t="str">
        <f>IFERROR(INDEX(Diccionarios!$B$2:$B$201,MATCH($A252,Diccionarios!$D$2:$D$201,0))&amp;"","")</f>
        <v/>
      </c>
      <c r="R252" s="7" t="str">
        <f>IFERROR(INDEX(Diccionarios!$C$2:$C$201,MATCH($A252,Diccionarios!$D$2:$D$201,0))&amp;"","")</f>
        <v/>
      </c>
      <c r="S252" s="7" t="str">
        <f>IFERROR(INDEX(Modelos!$K$2:$K$301,MATCH($B252,Modelos!$C$2:$C$301,0))&amp;"","")</f>
        <v/>
      </c>
      <c r="T252" s="7" t="str">
        <f>IFERROR(INDEX(Modelos!$L$2:$L$301,MATCH($B252,Modelos!$C$2:$C$301,0))&amp;"","")</f>
        <v/>
      </c>
    </row>
    <row r="253" spans="1:20" x14ac:dyDescent="0.25">
      <c r="A253" s="5"/>
      <c r="B253" s="5"/>
      <c r="C253" s="5"/>
      <c r="D253" s="6"/>
      <c r="E253" s="5"/>
      <c r="F253" s="7" t="str">
        <f>IF(AND(A253&lt;&gt;"",B253&lt;&gt;"",C253&lt;&gt;"",D253&lt;&gt;""),LEFT(A253,2)&amp;LEFT(B253,4)&amp;LEFT(C253,2)&amp;SUBSTITUTE(UPPER(D253),"Ú","U"),"")</f>
        <v/>
      </c>
      <c r="G253" s="7" t="str">
        <f>IFERROR(INDEX(Modelos!$B$2:$B$301,MATCH($B253,Modelos!$C$2:$C$301,0))&amp;"","")</f>
        <v/>
      </c>
      <c r="H253" s="7" t="str">
        <f>IFERROR(INDEX(Modelos!$D$2:$D$301,MATCH($B253,Modelos!$C$2:$C$301,0))&amp;"","")</f>
        <v/>
      </c>
      <c r="I253" s="7" t="str">
        <f>IFERROR(INDEX(Modelos!$E$2:$E$301,MATCH($B253,Modelos!$C$2:$C$301,0))&amp;"","")</f>
        <v/>
      </c>
      <c r="J253" s="7" t="str">
        <f>IFERROR(INDEX(Modelos!$F$2:$F$301,MATCH($B253,Modelos!$C$2:$C$301,0))&amp;"","")</f>
        <v/>
      </c>
      <c r="K253" s="7" t="str">
        <f>IFERROR(INDEX(Modelos!$G$2:$G$301,MATCH($B253,Modelos!$C$2:$C$301,0))&amp;"","")</f>
        <v/>
      </c>
      <c r="L253" s="7" t="str">
        <f>IFERROR(INDEX(Diccionarios!$G$2:$G$201,MATCH($C253,Diccionarios!$H$2:$H$201,0))&amp;"","")</f>
        <v/>
      </c>
      <c r="M253" s="7" t="str">
        <f>IF(D253="","",D253&amp;"")</f>
        <v/>
      </c>
      <c r="N253" s="8" t="str">
        <f>IF($B253="","",IFERROR(INDEX(Modelos!$H$2:$H$301,MATCH($B253,Modelos!$C$2:$C$301,0)),""))</f>
        <v/>
      </c>
      <c r="O253" s="8" t="str">
        <f>IF($B253="","",IFERROR(INDEX(Modelos!$I$2:$I$301,MATCH($B253,Modelos!$C$2:$C$301,0)),""))</f>
        <v/>
      </c>
      <c r="P253" s="8" t="str">
        <f>IF($B253="","",IFERROR(INDEX(Modelos!$J$2:$J$301,MATCH($B253,Modelos!$C$2:$C$301,0)),""))</f>
        <v/>
      </c>
      <c r="Q253" s="7" t="str">
        <f>IFERROR(INDEX(Diccionarios!$B$2:$B$201,MATCH($A253,Diccionarios!$D$2:$D$201,0))&amp;"","")</f>
        <v/>
      </c>
      <c r="R253" s="7" t="str">
        <f>IFERROR(INDEX(Diccionarios!$C$2:$C$201,MATCH($A253,Diccionarios!$D$2:$D$201,0))&amp;"","")</f>
        <v/>
      </c>
      <c r="S253" s="7" t="str">
        <f>IFERROR(INDEX(Modelos!$K$2:$K$301,MATCH($B253,Modelos!$C$2:$C$301,0))&amp;"","")</f>
        <v/>
      </c>
      <c r="T253" s="7" t="str">
        <f>IFERROR(INDEX(Modelos!$L$2:$L$301,MATCH($B253,Modelos!$C$2:$C$301,0))&amp;"","")</f>
        <v/>
      </c>
    </row>
    <row r="254" spans="1:20" x14ac:dyDescent="0.25">
      <c r="A254" s="5"/>
      <c r="B254" s="5"/>
      <c r="C254" s="5"/>
      <c r="D254" s="6"/>
      <c r="E254" s="5"/>
      <c r="F254" s="7" t="str">
        <f>IF(AND(A254&lt;&gt;"",B254&lt;&gt;"",C254&lt;&gt;"",D254&lt;&gt;""),LEFT(A254,2)&amp;LEFT(B254,4)&amp;LEFT(C254,2)&amp;SUBSTITUTE(UPPER(D254),"Ú","U"),"")</f>
        <v/>
      </c>
      <c r="G254" s="7" t="str">
        <f>IFERROR(INDEX(Modelos!$B$2:$B$301,MATCH($B254,Modelos!$C$2:$C$301,0))&amp;"","")</f>
        <v/>
      </c>
      <c r="H254" s="7" t="str">
        <f>IFERROR(INDEX(Modelos!$D$2:$D$301,MATCH($B254,Modelos!$C$2:$C$301,0))&amp;"","")</f>
        <v/>
      </c>
      <c r="I254" s="7" t="str">
        <f>IFERROR(INDEX(Modelos!$E$2:$E$301,MATCH($B254,Modelos!$C$2:$C$301,0))&amp;"","")</f>
        <v/>
      </c>
      <c r="J254" s="7" t="str">
        <f>IFERROR(INDEX(Modelos!$F$2:$F$301,MATCH($B254,Modelos!$C$2:$C$301,0))&amp;"","")</f>
        <v/>
      </c>
      <c r="K254" s="7" t="str">
        <f>IFERROR(INDEX(Modelos!$G$2:$G$301,MATCH($B254,Modelos!$C$2:$C$301,0))&amp;"","")</f>
        <v/>
      </c>
      <c r="L254" s="7" t="str">
        <f>IFERROR(INDEX(Diccionarios!$G$2:$G$201,MATCH($C254,Diccionarios!$H$2:$H$201,0))&amp;"","")</f>
        <v/>
      </c>
      <c r="M254" s="7" t="str">
        <f>IF(D254="","",D254&amp;"")</f>
        <v/>
      </c>
      <c r="N254" s="8" t="str">
        <f>IF($B254="","",IFERROR(INDEX(Modelos!$H$2:$H$301,MATCH($B254,Modelos!$C$2:$C$301,0)),""))</f>
        <v/>
      </c>
      <c r="O254" s="8" t="str">
        <f>IF($B254="","",IFERROR(INDEX(Modelos!$I$2:$I$301,MATCH($B254,Modelos!$C$2:$C$301,0)),""))</f>
        <v/>
      </c>
      <c r="P254" s="8" t="str">
        <f>IF($B254="","",IFERROR(INDEX(Modelos!$J$2:$J$301,MATCH($B254,Modelos!$C$2:$C$301,0)),""))</f>
        <v/>
      </c>
      <c r="Q254" s="7" t="str">
        <f>IFERROR(INDEX(Diccionarios!$B$2:$B$201,MATCH($A254,Diccionarios!$D$2:$D$201,0))&amp;"","")</f>
        <v/>
      </c>
      <c r="R254" s="7" t="str">
        <f>IFERROR(INDEX(Diccionarios!$C$2:$C$201,MATCH($A254,Diccionarios!$D$2:$D$201,0))&amp;"","")</f>
        <v/>
      </c>
      <c r="S254" s="7" t="str">
        <f>IFERROR(INDEX(Modelos!$K$2:$K$301,MATCH($B254,Modelos!$C$2:$C$301,0))&amp;"","")</f>
        <v/>
      </c>
      <c r="T254" s="7" t="str">
        <f>IFERROR(INDEX(Modelos!$L$2:$L$301,MATCH($B254,Modelos!$C$2:$C$301,0))&amp;"","")</f>
        <v/>
      </c>
    </row>
    <row r="255" spans="1:20" x14ac:dyDescent="0.25">
      <c r="A255" s="5"/>
      <c r="B255" s="5"/>
      <c r="C255" s="5"/>
      <c r="D255" s="6"/>
      <c r="E255" s="5"/>
      <c r="F255" s="7" t="str">
        <f>IF(AND(A255&lt;&gt;"",B255&lt;&gt;"",C255&lt;&gt;"",D255&lt;&gt;""),LEFT(A255,2)&amp;LEFT(B255,4)&amp;LEFT(C255,2)&amp;SUBSTITUTE(UPPER(D255),"Ú","U"),"")</f>
        <v/>
      </c>
      <c r="G255" s="7" t="str">
        <f>IFERROR(INDEX(Modelos!$B$2:$B$301,MATCH($B255,Modelos!$C$2:$C$301,0))&amp;"","")</f>
        <v/>
      </c>
      <c r="H255" s="7" t="str">
        <f>IFERROR(INDEX(Modelos!$D$2:$D$301,MATCH($B255,Modelos!$C$2:$C$301,0))&amp;"","")</f>
        <v/>
      </c>
      <c r="I255" s="7" t="str">
        <f>IFERROR(INDEX(Modelos!$E$2:$E$301,MATCH($B255,Modelos!$C$2:$C$301,0))&amp;"","")</f>
        <v/>
      </c>
      <c r="J255" s="7" t="str">
        <f>IFERROR(INDEX(Modelos!$F$2:$F$301,MATCH($B255,Modelos!$C$2:$C$301,0))&amp;"","")</f>
        <v/>
      </c>
      <c r="K255" s="7" t="str">
        <f>IFERROR(INDEX(Modelos!$G$2:$G$301,MATCH($B255,Modelos!$C$2:$C$301,0))&amp;"","")</f>
        <v/>
      </c>
      <c r="L255" s="7" t="str">
        <f>IFERROR(INDEX(Diccionarios!$G$2:$G$201,MATCH($C255,Diccionarios!$H$2:$H$201,0))&amp;"","")</f>
        <v/>
      </c>
      <c r="M255" s="7" t="str">
        <f>IF(D255="","",D255&amp;"")</f>
        <v/>
      </c>
      <c r="N255" s="8" t="str">
        <f>IF($B255="","",IFERROR(INDEX(Modelos!$H$2:$H$301,MATCH($B255,Modelos!$C$2:$C$301,0)),""))</f>
        <v/>
      </c>
      <c r="O255" s="8" t="str">
        <f>IF($B255="","",IFERROR(INDEX(Modelos!$I$2:$I$301,MATCH($B255,Modelos!$C$2:$C$301,0)),""))</f>
        <v/>
      </c>
      <c r="P255" s="8" t="str">
        <f>IF($B255="","",IFERROR(INDEX(Modelos!$J$2:$J$301,MATCH($B255,Modelos!$C$2:$C$301,0)),""))</f>
        <v/>
      </c>
      <c r="Q255" s="7" t="str">
        <f>IFERROR(INDEX(Diccionarios!$B$2:$B$201,MATCH($A255,Diccionarios!$D$2:$D$201,0))&amp;"","")</f>
        <v/>
      </c>
      <c r="R255" s="7" t="str">
        <f>IFERROR(INDEX(Diccionarios!$C$2:$C$201,MATCH($A255,Diccionarios!$D$2:$D$201,0))&amp;"","")</f>
        <v/>
      </c>
      <c r="S255" s="7" t="str">
        <f>IFERROR(INDEX(Modelos!$K$2:$K$301,MATCH($B255,Modelos!$C$2:$C$301,0))&amp;"","")</f>
        <v/>
      </c>
      <c r="T255" s="7" t="str">
        <f>IFERROR(INDEX(Modelos!$L$2:$L$301,MATCH($B255,Modelos!$C$2:$C$301,0))&amp;"","")</f>
        <v/>
      </c>
    </row>
    <row r="256" spans="1:20" x14ac:dyDescent="0.25">
      <c r="A256" s="5"/>
      <c r="B256" s="5"/>
      <c r="C256" s="5"/>
      <c r="D256" s="6"/>
      <c r="E256" s="5"/>
      <c r="F256" s="7" t="str">
        <f>IF(AND(A256&lt;&gt;"",B256&lt;&gt;"",C256&lt;&gt;"",D256&lt;&gt;""),LEFT(A256,2)&amp;LEFT(B256,4)&amp;LEFT(C256,2)&amp;SUBSTITUTE(UPPER(D256),"Ú","U"),"")</f>
        <v/>
      </c>
      <c r="G256" s="7" t="str">
        <f>IFERROR(INDEX(Modelos!$B$2:$B$301,MATCH($B256,Modelos!$C$2:$C$301,0))&amp;"","")</f>
        <v/>
      </c>
      <c r="H256" s="7" t="str">
        <f>IFERROR(INDEX(Modelos!$D$2:$D$301,MATCH($B256,Modelos!$C$2:$C$301,0))&amp;"","")</f>
        <v/>
      </c>
      <c r="I256" s="7" t="str">
        <f>IFERROR(INDEX(Modelos!$E$2:$E$301,MATCH($B256,Modelos!$C$2:$C$301,0))&amp;"","")</f>
        <v/>
      </c>
      <c r="J256" s="7" t="str">
        <f>IFERROR(INDEX(Modelos!$F$2:$F$301,MATCH($B256,Modelos!$C$2:$C$301,0))&amp;"","")</f>
        <v/>
      </c>
      <c r="K256" s="7" t="str">
        <f>IFERROR(INDEX(Modelos!$G$2:$G$301,MATCH($B256,Modelos!$C$2:$C$301,0))&amp;"","")</f>
        <v/>
      </c>
      <c r="L256" s="7" t="str">
        <f>IFERROR(INDEX(Diccionarios!$G$2:$G$201,MATCH($C256,Diccionarios!$H$2:$H$201,0))&amp;"","")</f>
        <v/>
      </c>
      <c r="M256" s="7" t="str">
        <f>IF(D256="","",D256&amp;"")</f>
        <v/>
      </c>
      <c r="N256" s="8" t="str">
        <f>IF($B256="","",IFERROR(INDEX(Modelos!$H$2:$H$301,MATCH($B256,Modelos!$C$2:$C$301,0)),""))</f>
        <v/>
      </c>
      <c r="O256" s="8" t="str">
        <f>IF($B256="","",IFERROR(INDEX(Modelos!$I$2:$I$301,MATCH($B256,Modelos!$C$2:$C$301,0)),""))</f>
        <v/>
      </c>
      <c r="P256" s="8" t="str">
        <f>IF($B256="","",IFERROR(INDEX(Modelos!$J$2:$J$301,MATCH($B256,Modelos!$C$2:$C$301,0)),""))</f>
        <v/>
      </c>
      <c r="Q256" s="7" t="str">
        <f>IFERROR(INDEX(Diccionarios!$B$2:$B$201,MATCH($A256,Diccionarios!$D$2:$D$201,0))&amp;"","")</f>
        <v/>
      </c>
      <c r="R256" s="7" t="str">
        <f>IFERROR(INDEX(Diccionarios!$C$2:$C$201,MATCH($A256,Diccionarios!$D$2:$D$201,0))&amp;"","")</f>
        <v/>
      </c>
      <c r="S256" s="7" t="str">
        <f>IFERROR(INDEX(Modelos!$K$2:$K$301,MATCH($B256,Modelos!$C$2:$C$301,0))&amp;"","")</f>
        <v/>
      </c>
      <c r="T256" s="7" t="str">
        <f>IFERROR(INDEX(Modelos!$L$2:$L$301,MATCH($B256,Modelos!$C$2:$C$301,0))&amp;"","")</f>
        <v/>
      </c>
    </row>
    <row r="257" spans="1:20" x14ac:dyDescent="0.25">
      <c r="A257" s="5"/>
      <c r="B257" s="5"/>
      <c r="C257" s="5"/>
      <c r="D257" s="6"/>
      <c r="E257" s="5"/>
      <c r="F257" s="7" t="str">
        <f>IF(AND(A257&lt;&gt;"",B257&lt;&gt;"",C257&lt;&gt;"",D257&lt;&gt;""),LEFT(A257,2)&amp;LEFT(B257,4)&amp;LEFT(C257,2)&amp;SUBSTITUTE(UPPER(D257),"Ú","U"),"")</f>
        <v/>
      </c>
      <c r="G257" s="7" t="str">
        <f>IFERROR(INDEX(Modelos!$B$2:$B$301,MATCH($B257,Modelos!$C$2:$C$301,0))&amp;"","")</f>
        <v/>
      </c>
      <c r="H257" s="7" t="str">
        <f>IFERROR(INDEX(Modelos!$D$2:$D$301,MATCH($B257,Modelos!$C$2:$C$301,0))&amp;"","")</f>
        <v/>
      </c>
      <c r="I257" s="7" t="str">
        <f>IFERROR(INDEX(Modelos!$E$2:$E$301,MATCH($B257,Modelos!$C$2:$C$301,0))&amp;"","")</f>
        <v/>
      </c>
      <c r="J257" s="7" t="str">
        <f>IFERROR(INDEX(Modelos!$F$2:$F$301,MATCH($B257,Modelos!$C$2:$C$301,0))&amp;"","")</f>
        <v/>
      </c>
      <c r="K257" s="7" t="str">
        <f>IFERROR(INDEX(Modelos!$G$2:$G$301,MATCH($B257,Modelos!$C$2:$C$301,0))&amp;"","")</f>
        <v/>
      </c>
      <c r="L257" s="7" t="str">
        <f>IFERROR(INDEX(Diccionarios!$G$2:$G$201,MATCH($C257,Diccionarios!$H$2:$H$201,0))&amp;"","")</f>
        <v/>
      </c>
      <c r="M257" s="7" t="str">
        <f>IF(D257="","",D257&amp;"")</f>
        <v/>
      </c>
      <c r="N257" s="8" t="str">
        <f>IF($B257="","",IFERROR(INDEX(Modelos!$H$2:$H$301,MATCH($B257,Modelos!$C$2:$C$301,0)),""))</f>
        <v/>
      </c>
      <c r="O257" s="8" t="str">
        <f>IF($B257="","",IFERROR(INDEX(Modelos!$I$2:$I$301,MATCH($B257,Modelos!$C$2:$C$301,0)),""))</f>
        <v/>
      </c>
      <c r="P257" s="8" t="str">
        <f>IF($B257="","",IFERROR(INDEX(Modelos!$J$2:$J$301,MATCH($B257,Modelos!$C$2:$C$301,0)),""))</f>
        <v/>
      </c>
      <c r="Q257" s="7" t="str">
        <f>IFERROR(INDEX(Diccionarios!$B$2:$B$201,MATCH($A257,Diccionarios!$D$2:$D$201,0))&amp;"","")</f>
        <v/>
      </c>
      <c r="R257" s="7" t="str">
        <f>IFERROR(INDEX(Diccionarios!$C$2:$C$201,MATCH($A257,Diccionarios!$D$2:$D$201,0))&amp;"","")</f>
        <v/>
      </c>
      <c r="S257" s="7" t="str">
        <f>IFERROR(INDEX(Modelos!$K$2:$K$301,MATCH($B257,Modelos!$C$2:$C$301,0))&amp;"","")</f>
        <v/>
      </c>
      <c r="T257" s="7" t="str">
        <f>IFERROR(INDEX(Modelos!$L$2:$L$301,MATCH($B257,Modelos!$C$2:$C$301,0))&amp;"","")</f>
        <v/>
      </c>
    </row>
    <row r="258" spans="1:20" x14ac:dyDescent="0.25">
      <c r="A258" s="5"/>
      <c r="B258" s="5"/>
      <c r="C258" s="5"/>
      <c r="D258" s="6"/>
      <c r="E258" s="5"/>
      <c r="F258" s="7" t="str">
        <f>IF(AND(A258&lt;&gt;"",B258&lt;&gt;"",C258&lt;&gt;"",D258&lt;&gt;""),LEFT(A258,2)&amp;LEFT(B258,4)&amp;LEFT(C258,2)&amp;SUBSTITUTE(UPPER(D258),"Ú","U"),"")</f>
        <v/>
      </c>
      <c r="G258" s="7" t="str">
        <f>IFERROR(INDEX(Modelos!$B$2:$B$301,MATCH($B258,Modelos!$C$2:$C$301,0))&amp;"","")</f>
        <v/>
      </c>
      <c r="H258" s="7" t="str">
        <f>IFERROR(INDEX(Modelos!$D$2:$D$301,MATCH($B258,Modelos!$C$2:$C$301,0))&amp;"","")</f>
        <v/>
      </c>
      <c r="I258" s="7" t="str">
        <f>IFERROR(INDEX(Modelos!$E$2:$E$301,MATCH($B258,Modelos!$C$2:$C$301,0))&amp;"","")</f>
        <v/>
      </c>
      <c r="J258" s="7" t="str">
        <f>IFERROR(INDEX(Modelos!$F$2:$F$301,MATCH($B258,Modelos!$C$2:$C$301,0))&amp;"","")</f>
        <v/>
      </c>
      <c r="K258" s="7" t="str">
        <f>IFERROR(INDEX(Modelos!$G$2:$G$301,MATCH($B258,Modelos!$C$2:$C$301,0))&amp;"","")</f>
        <v/>
      </c>
      <c r="L258" s="7" t="str">
        <f>IFERROR(INDEX(Diccionarios!$G$2:$G$201,MATCH($C258,Diccionarios!$H$2:$H$201,0))&amp;"","")</f>
        <v/>
      </c>
      <c r="M258" s="7" t="str">
        <f>IF(D258="","",D258&amp;"")</f>
        <v/>
      </c>
      <c r="N258" s="8" t="str">
        <f>IF($B258="","",IFERROR(INDEX(Modelos!$H$2:$H$301,MATCH($B258,Modelos!$C$2:$C$301,0)),""))</f>
        <v/>
      </c>
      <c r="O258" s="8" t="str">
        <f>IF($B258="","",IFERROR(INDEX(Modelos!$I$2:$I$301,MATCH($B258,Modelos!$C$2:$C$301,0)),""))</f>
        <v/>
      </c>
      <c r="P258" s="8" t="str">
        <f>IF($B258="","",IFERROR(INDEX(Modelos!$J$2:$J$301,MATCH($B258,Modelos!$C$2:$C$301,0)),""))</f>
        <v/>
      </c>
      <c r="Q258" s="7" t="str">
        <f>IFERROR(INDEX(Diccionarios!$B$2:$B$201,MATCH($A258,Diccionarios!$D$2:$D$201,0))&amp;"","")</f>
        <v/>
      </c>
      <c r="R258" s="7" t="str">
        <f>IFERROR(INDEX(Diccionarios!$C$2:$C$201,MATCH($A258,Diccionarios!$D$2:$D$201,0))&amp;"","")</f>
        <v/>
      </c>
      <c r="S258" s="7" t="str">
        <f>IFERROR(INDEX(Modelos!$K$2:$K$301,MATCH($B258,Modelos!$C$2:$C$301,0))&amp;"","")</f>
        <v/>
      </c>
      <c r="T258" s="7" t="str">
        <f>IFERROR(INDEX(Modelos!$L$2:$L$301,MATCH($B258,Modelos!$C$2:$C$301,0))&amp;"","")</f>
        <v/>
      </c>
    </row>
    <row r="259" spans="1:20" x14ac:dyDescent="0.25">
      <c r="A259" s="5"/>
      <c r="B259" s="5"/>
      <c r="C259" s="5"/>
      <c r="D259" s="6"/>
      <c r="E259" s="5"/>
      <c r="F259" s="7" t="str">
        <f>IF(AND(A259&lt;&gt;"",B259&lt;&gt;"",C259&lt;&gt;"",D259&lt;&gt;""),LEFT(A259,2)&amp;LEFT(B259,4)&amp;LEFT(C259,2)&amp;SUBSTITUTE(UPPER(D259),"Ú","U"),"")</f>
        <v/>
      </c>
      <c r="G259" s="7" t="str">
        <f>IFERROR(INDEX(Modelos!$B$2:$B$301,MATCH($B259,Modelos!$C$2:$C$301,0))&amp;"","")</f>
        <v/>
      </c>
      <c r="H259" s="7" t="str">
        <f>IFERROR(INDEX(Modelos!$D$2:$D$301,MATCH($B259,Modelos!$C$2:$C$301,0))&amp;"","")</f>
        <v/>
      </c>
      <c r="I259" s="7" t="str">
        <f>IFERROR(INDEX(Modelos!$E$2:$E$301,MATCH($B259,Modelos!$C$2:$C$301,0))&amp;"","")</f>
        <v/>
      </c>
      <c r="J259" s="7" t="str">
        <f>IFERROR(INDEX(Modelos!$F$2:$F$301,MATCH($B259,Modelos!$C$2:$C$301,0))&amp;"","")</f>
        <v/>
      </c>
      <c r="K259" s="7" t="str">
        <f>IFERROR(INDEX(Modelos!$G$2:$G$301,MATCH($B259,Modelos!$C$2:$C$301,0))&amp;"","")</f>
        <v/>
      </c>
      <c r="L259" s="7" t="str">
        <f>IFERROR(INDEX(Diccionarios!$G$2:$G$201,MATCH($C259,Diccionarios!$H$2:$H$201,0))&amp;"","")</f>
        <v/>
      </c>
      <c r="M259" s="7" t="str">
        <f>IF(D259="","",D259&amp;"")</f>
        <v/>
      </c>
      <c r="N259" s="8" t="str">
        <f>IF($B259="","",IFERROR(INDEX(Modelos!$H$2:$H$301,MATCH($B259,Modelos!$C$2:$C$301,0)),""))</f>
        <v/>
      </c>
      <c r="O259" s="8" t="str">
        <f>IF($B259="","",IFERROR(INDEX(Modelos!$I$2:$I$301,MATCH($B259,Modelos!$C$2:$C$301,0)),""))</f>
        <v/>
      </c>
      <c r="P259" s="8" t="str">
        <f>IF($B259="","",IFERROR(INDEX(Modelos!$J$2:$J$301,MATCH($B259,Modelos!$C$2:$C$301,0)),""))</f>
        <v/>
      </c>
      <c r="Q259" s="7" t="str">
        <f>IFERROR(INDEX(Diccionarios!$B$2:$B$201,MATCH($A259,Diccionarios!$D$2:$D$201,0))&amp;"","")</f>
        <v/>
      </c>
      <c r="R259" s="7" t="str">
        <f>IFERROR(INDEX(Diccionarios!$C$2:$C$201,MATCH($A259,Diccionarios!$D$2:$D$201,0))&amp;"","")</f>
        <v/>
      </c>
      <c r="S259" s="7" t="str">
        <f>IFERROR(INDEX(Modelos!$K$2:$K$301,MATCH($B259,Modelos!$C$2:$C$301,0))&amp;"","")</f>
        <v/>
      </c>
      <c r="T259" s="7" t="str">
        <f>IFERROR(INDEX(Modelos!$L$2:$L$301,MATCH($B259,Modelos!$C$2:$C$301,0))&amp;"","")</f>
        <v/>
      </c>
    </row>
    <row r="260" spans="1:20" x14ac:dyDescent="0.25">
      <c r="A260" s="5"/>
      <c r="B260" s="5"/>
      <c r="C260" s="5"/>
      <c r="D260" s="6"/>
      <c r="E260" s="5"/>
      <c r="F260" s="7" t="str">
        <f>IF(AND(A260&lt;&gt;"",B260&lt;&gt;"",C260&lt;&gt;"",D260&lt;&gt;""),LEFT(A260,2)&amp;LEFT(B260,4)&amp;LEFT(C260,2)&amp;SUBSTITUTE(UPPER(D260),"Ú","U"),"")</f>
        <v/>
      </c>
      <c r="G260" s="7" t="str">
        <f>IFERROR(INDEX(Modelos!$B$2:$B$301,MATCH($B260,Modelos!$C$2:$C$301,0))&amp;"","")</f>
        <v/>
      </c>
      <c r="H260" s="7" t="str">
        <f>IFERROR(INDEX(Modelos!$D$2:$D$301,MATCH($B260,Modelos!$C$2:$C$301,0))&amp;"","")</f>
        <v/>
      </c>
      <c r="I260" s="7" t="str">
        <f>IFERROR(INDEX(Modelos!$E$2:$E$301,MATCH($B260,Modelos!$C$2:$C$301,0))&amp;"","")</f>
        <v/>
      </c>
      <c r="J260" s="7" t="str">
        <f>IFERROR(INDEX(Modelos!$F$2:$F$301,MATCH($B260,Modelos!$C$2:$C$301,0))&amp;"","")</f>
        <v/>
      </c>
      <c r="K260" s="7" t="str">
        <f>IFERROR(INDEX(Modelos!$G$2:$G$301,MATCH($B260,Modelos!$C$2:$C$301,0))&amp;"","")</f>
        <v/>
      </c>
      <c r="L260" s="7" t="str">
        <f>IFERROR(INDEX(Diccionarios!$G$2:$G$201,MATCH($C260,Diccionarios!$H$2:$H$201,0))&amp;"","")</f>
        <v/>
      </c>
      <c r="M260" s="7" t="str">
        <f>IF(D260="","",D260&amp;"")</f>
        <v/>
      </c>
      <c r="N260" s="8" t="str">
        <f>IF($B260="","",IFERROR(INDEX(Modelos!$H$2:$H$301,MATCH($B260,Modelos!$C$2:$C$301,0)),""))</f>
        <v/>
      </c>
      <c r="O260" s="8" t="str">
        <f>IF($B260="","",IFERROR(INDEX(Modelos!$I$2:$I$301,MATCH($B260,Modelos!$C$2:$C$301,0)),""))</f>
        <v/>
      </c>
      <c r="P260" s="8" t="str">
        <f>IF($B260="","",IFERROR(INDEX(Modelos!$J$2:$J$301,MATCH($B260,Modelos!$C$2:$C$301,0)),""))</f>
        <v/>
      </c>
      <c r="Q260" s="7" t="str">
        <f>IFERROR(INDEX(Diccionarios!$B$2:$B$201,MATCH($A260,Diccionarios!$D$2:$D$201,0))&amp;"","")</f>
        <v/>
      </c>
      <c r="R260" s="7" t="str">
        <f>IFERROR(INDEX(Diccionarios!$C$2:$C$201,MATCH($A260,Diccionarios!$D$2:$D$201,0))&amp;"","")</f>
        <v/>
      </c>
      <c r="S260" s="7" t="str">
        <f>IFERROR(INDEX(Modelos!$K$2:$K$301,MATCH($B260,Modelos!$C$2:$C$301,0))&amp;"","")</f>
        <v/>
      </c>
      <c r="T260" s="7" t="str">
        <f>IFERROR(INDEX(Modelos!$L$2:$L$301,MATCH($B260,Modelos!$C$2:$C$301,0))&amp;"","")</f>
        <v/>
      </c>
    </row>
    <row r="261" spans="1:20" x14ac:dyDescent="0.25">
      <c r="A261" s="5"/>
      <c r="B261" s="5"/>
      <c r="C261" s="5"/>
      <c r="D261" s="6"/>
      <c r="E261" s="5"/>
      <c r="F261" s="7" t="str">
        <f>IF(AND(A261&lt;&gt;"",B261&lt;&gt;"",C261&lt;&gt;"",D261&lt;&gt;""),LEFT(A261,2)&amp;LEFT(B261,4)&amp;LEFT(C261,2)&amp;SUBSTITUTE(UPPER(D261),"Ú","U"),"")</f>
        <v/>
      </c>
      <c r="G261" s="7" t="str">
        <f>IFERROR(INDEX(Modelos!$B$2:$B$301,MATCH($B261,Modelos!$C$2:$C$301,0))&amp;"","")</f>
        <v/>
      </c>
      <c r="H261" s="7" t="str">
        <f>IFERROR(INDEX(Modelos!$D$2:$D$301,MATCH($B261,Modelos!$C$2:$C$301,0))&amp;"","")</f>
        <v/>
      </c>
      <c r="I261" s="7" t="str">
        <f>IFERROR(INDEX(Modelos!$E$2:$E$301,MATCH($B261,Modelos!$C$2:$C$301,0))&amp;"","")</f>
        <v/>
      </c>
      <c r="J261" s="7" t="str">
        <f>IFERROR(INDEX(Modelos!$F$2:$F$301,MATCH($B261,Modelos!$C$2:$C$301,0))&amp;"","")</f>
        <v/>
      </c>
      <c r="K261" s="7" t="str">
        <f>IFERROR(INDEX(Modelos!$G$2:$G$301,MATCH($B261,Modelos!$C$2:$C$301,0))&amp;"","")</f>
        <v/>
      </c>
      <c r="L261" s="7" t="str">
        <f>IFERROR(INDEX(Diccionarios!$G$2:$G$201,MATCH($C261,Diccionarios!$H$2:$H$201,0))&amp;"","")</f>
        <v/>
      </c>
      <c r="M261" s="7" t="str">
        <f>IF(D261="","",D261&amp;"")</f>
        <v/>
      </c>
      <c r="N261" s="8" t="str">
        <f>IF($B261="","",IFERROR(INDEX(Modelos!$H$2:$H$301,MATCH($B261,Modelos!$C$2:$C$301,0)),""))</f>
        <v/>
      </c>
      <c r="O261" s="8" t="str">
        <f>IF($B261="","",IFERROR(INDEX(Modelos!$I$2:$I$301,MATCH($B261,Modelos!$C$2:$C$301,0)),""))</f>
        <v/>
      </c>
      <c r="P261" s="8" t="str">
        <f>IF($B261="","",IFERROR(INDEX(Modelos!$J$2:$J$301,MATCH($B261,Modelos!$C$2:$C$301,0)),""))</f>
        <v/>
      </c>
      <c r="Q261" s="7" t="str">
        <f>IFERROR(INDEX(Diccionarios!$B$2:$B$201,MATCH($A261,Diccionarios!$D$2:$D$201,0))&amp;"","")</f>
        <v/>
      </c>
      <c r="R261" s="7" t="str">
        <f>IFERROR(INDEX(Diccionarios!$C$2:$C$201,MATCH($A261,Diccionarios!$D$2:$D$201,0))&amp;"","")</f>
        <v/>
      </c>
      <c r="S261" s="7" t="str">
        <f>IFERROR(INDEX(Modelos!$K$2:$K$301,MATCH($B261,Modelos!$C$2:$C$301,0))&amp;"","")</f>
        <v/>
      </c>
      <c r="T261" s="7" t="str">
        <f>IFERROR(INDEX(Modelos!$L$2:$L$301,MATCH($B261,Modelos!$C$2:$C$301,0))&amp;"","")</f>
        <v/>
      </c>
    </row>
    <row r="262" spans="1:20" x14ac:dyDescent="0.25">
      <c r="A262" s="5"/>
      <c r="B262" s="5"/>
      <c r="C262" s="5"/>
      <c r="D262" s="6"/>
      <c r="E262" s="5"/>
      <c r="F262" s="7" t="str">
        <f>IF(AND(A262&lt;&gt;"",B262&lt;&gt;"",C262&lt;&gt;"",D262&lt;&gt;""),LEFT(A262,2)&amp;LEFT(B262,4)&amp;LEFT(C262,2)&amp;SUBSTITUTE(UPPER(D262),"Ú","U"),"")</f>
        <v/>
      </c>
      <c r="G262" s="7" t="str">
        <f>IFERROR(INDEX(Modelos!$B$2:$B$301,MATCH($B262,Modelos!$C$2:$C$301,0))&amp;"","")</f>
        <v/>
      </c>
      <c r="H262" s="7" t="str">
        <f>IFERROR(INDEX(Modelos!$D$2:$D$301,MATCH($B262,Modelos!$C$2:$C$301,0))&amp;"","")</f>
        <v/>
      </c>
      <c r="I262" s="7" t="str">
        <f>IFERROR(INDEX(Modelos!$E$2:$E$301,MATCH($B262,Modelos!$C$2:$C$301,0))&amp;"","")</f>
        <v/>
      </c>
      <c r="J262" s="7" t="str">
        <f>IFERROR(INDEX(Modelos!$F$2:$F$301,MATCH($B262,Modelos!$C$2:$C$301,0))&amp;"","")</f>
        <v/>
      </c>
      <c r="K262" s="7" t="str">
        <f>IFERROR(INDEX(Modelos!$G$2:$G$301,MATCH($B262,Modelos!$C$2:$C$301,0))&amp;"","")</f>
        <v/>
      </c>
      <c r="L262" s="7" t="str">
        <f>IFERROR(INDEX(Diccionarios!$G$2:$G$201,MATCH($C262,Diccionarios!$H$2:$H$201,0))&amp;"","")</f>
        <v/>
      </c>
      <c r="M262" s="7" t="str">
        <f>IF(D262="","",D262&amp;"")</f>
        <v/>
      </c>
      <c r="N262" s="8" t="str">
        <f>IF($B262="","",IFERROR(INDEX(Modelos!$H$2:$H$301,MATCH($B262,Modelos!$C$2:$C$301,0)),""))</f>
        <v/>
      </c>
      <c r="O262" s="8" t="str">
        <f>IF($B262="","",IFERROR(INDEX(Modelos!$I$2:$I$301,MATCH($B262,Modelos!$C$2:$C$301,0)),""))</f>
        <v/>
      </c>
      <c r="P262" s="8" t="str">
        <f>IF($B262="","",IFERROR(INDEX(Modelos!$J$2:$J$301,MATCH($B262,Modelos!$C$2:$C$301,0)),""))</f>
        <v/>
      </c>
      <c r="Q262" s="7" t="str">
        <f>IFERROR(INDEX(Diccionarios!$B$2:$B$201,MATCH($A262,Diccionarios!$D$2:$D$201,0))&amp;"","")</f>
        <v/>
      </c>
      <c r="R262" s="7" t="str">
        <f>IFERROR(INDEX(Diccionarios!$C$2:$C$201,MATCH($A262,Diccionarios!$D$2:$D$201,0))&amp;"","")</f>
        <v/>
      </c>
      <c r="S262" s="7" t="str">
        <f>IFERROR(INDEX(Modelos!$K$2:$K$301,MATCH($B262,Modelos!$C$2:$C$301,0))&amp;"","")</f>
        <v/>
      </c>
      <c r="T262" s="7" t="str">
        <f>IFERROR(INDEX(Modelos!$L$2:$L$301,MATCH($B262,Modelos!$C$2:$C$301,0))&amp;"","")</f>
        <v/>
      </c>
    </row>
    <row r="263" spans="1:20" x14ac:dyDescent="0.25">
      <c r="A263" s="5"/>
      <c r="B263" s="5"/>
      <c r="C263" s="5"/>
      <c r="D263" s="6"/>
      <c r="E263" s="5"/>
      <c r="F263" s="7" t="str">
        <f>IF(AND(A263&lt;&gt;"",B263&lt;&gt;"",C263&lt;&gt;"",D263&lt;&gt;""),LEFT(A263,2)&amp;LEFT(B263,4)&amp;LEFT(C263,2)&amp;SUBSTITUTE(UPPER(D263),"Ú","U"),"")</f>
        <v/>
      </c>
      <c r="G263" s="7" t="str">
        <f>IFERROR(INDEX(Modelos!$B$2:$B$301,MATCH($B263,Modelos!$C$2:$C$301,0))&amp;"","")</f>
        <v/>
      </c>
      <c r="H263" s="7" t="str">
        <f>IFERROR(INDEX(Modelos!$D$2:$D$301,MATCH($B263,Modelos!$C$2:$C$301,0))&amp;"","")</f>
        <v/>
      </c>
      <c r="I263" s="7" t="str">
        <f>IFERROR(INDEX(Modelos!$E$2:$E$301,MATCH($B263,Modelos!$C$2:$C$301,0))&amp;"","")</f>
        <v/>
      </c>
      <c r="J263" s="7" t="str">
        <f>IFERROR(INDEX(Modelos!$F$2:$F$301,MATCH($B263,Modelos!$C$2:$C$301,0))&amp;"","")</f>
        <v/>
      </c>
      <c r="K263" s="7" t="str">
        <f>IFERROR(INDEX(Modelos!$G$2:$G$301,MATCH($B263,Modelos!$C$2:$C$301,0))&amp;"","")</f>
        <v/>
      </c>
      <c r="L263" s="7" t="str">
        <f>IFERROR(INDEX(Diccionarios!$G$2:$G$201,MATCH($C263,Diccionarios!$H$2:$H$201,0))&amp;"","")</f>
        <v/>
      </c>
      <c r="M263" s="7" t="str">
        <f>IF(D263="","",D263&amp;"")</f>
        <v/>
      </c>
      <c r="N263" s="8" t="str">
        <f>IF($B263="","",IFERROR(INDEX(Modelos!$H$2:$H$301,MATCH($B263,Modelos!$C$2:$C$301,0)),""))</f>
        <v/>
      </c>
      <c r="O263" s="8" t="str">
        <f>IF($B263="","",IFERROR(INDEX(Modelos!$I$2:$I$301,MATCH($B263,Modelos!$C$2:$C$301,0)),""))</f>
        <v/>
      </c>
      <c r="P263" s="8" t="str">
        <f>IF($B263="","",IFERROR(INDEX(Modelos!$J$2:$J$301,MATCH($B263,Modelos!$C$2:$C$301,0)),""))</f>
        <v/>
      </c>
      <c r="Q263" s="7" t="str">
        <f>IFERROR(INDEX(Diccionarios!$B$2:$B$201,MATCH($A263,Diccionarios!$D$2:$D$201,0))&amp;"","")</f>
        <v/>
      </c>
      <c r="R263" s="7" t="str">
        <f>IFERROR(INDEX(Diccionarios!$C$2:$C$201,MATCH($A263,Diccionarios!$D$2:$D$201,0))&amp;"","")</f>
        <v/>
      </c>
      <c r="S263" s="7" t="str">
        <f>IFERROR(INDEX(Modelos!$K$2:$K$301,MATCH($B263,Modelos!$C$2:$C$301,0))&amp;"","")</f>
        <v/>
      </c>
      <c r="T263" s="7" t="str">
        <f>IFERROR(INDEX(Modelos!$L$2:$L$301,MATCH($B263,Modelos!$C$2:$C$301,0))&amp;"","")</f>
        <v/>
      </c>
    </row>
    <row r="264" spans="1:20" x14ac:dyDescent="0.25">
      <c r="A264" s="5"/>
      <c r="B264" s="5"/>
      <c r="C264" s="5"/>
      <c r="D264" s="6"/>
      <c r="E264" s="5"/>
      <c r="F264" s="7" t="str">
        <f>IF(AND(A264&lt;&gt;"",B264&lt;&gt;"",C264&lt;&gt;"",D264&lt;&gt;""),LEFT(A264,2)&amp;LEFT(B264,4)&amp;LEFT(C264,2)&amp;SUBSTITUTE(UPPER(D264),"Ú","U"),"")</f>
        <v/>
      </c>
      <c r="G264" s="7" t="str">
        <f>IFERROR(INDEX(Modelos!$B$2:$B$301,MATCH($B264,Modelos!$C$2:$C$301,0))&amp;"","")</f>
        <v/>
      </c>
      <c r="H264" s="7" t="str">
        <f>IFERROR(INDEX(Modelos!$D$2:$D$301,MATCH($B264,Modelos!$C$2:$C$301,0))&amp;"","")</f>
        <v/>
      </c>
      <c r="I264" s="7" t="str">
        <f>IFERROR(INDEX(Modelos!$E$2:$E$301,MATCH($B264,Modelos!$C$2:$C$301,0))&amp;"","")</f>
        <v/>
      </c>
      <c r="J264" s="7" t="str">
        <f>IFERROR(INDEX(Modelos!$F$2:$F$301,MATCH($B264,Modelos!$C$2:$C$301,0))&amp;"","")</f>
        <v/>
      </c>
      <c r="K264" s="7" t="str">
        <f>IFERROR(INDEX(Modelos!$G$2:$G$301,MATCH($B264,Modelos!$C$2:$C$301,0))&amp;"","")</f>
        <v/>
      </c>
      <c r="L264" s="7" t="str">
        <f>IFERROR(INDEX(Diccionarios!$G$2:$G$201,MATCH($C264,Diccionarios!$H$2:$H$201,0))&amp;"","")</f>
        <v/>
      </c>
      <c r="M264" s="7" t="str">
        <f>IF(D264="","",D264&amp;"")</f>
        <v/>
      </c>
      <c r="N264" s="8" t="str">
        <f>IF($B264="","",IFERROR(INDEX(Modelos!$H$2:$H$301,MATCH($B264,Modelos!$C$2:$C$301,0)),""))</f>
        <v/>
      </c>
      <c r="O264" s="8" t="str">
        <f>IF($B264="","",IFERROR(INDEX(Modelos!$I$2:$I$301,MATCH($B264,Modelos!$C$2:$C$301,0)),""))</f>
        <v/>
      </c>
      <c r="P264" s="8" t="str">
        <f>IF($B264="","",IFERROR(INDEX(Modelos!$J$2:$J$301,MATCH($B264,Modelos!$C$2:$C$301,0)),""))</f>
        <v/>
      </c>
      <c r="Q264" s="7" t="str">
        <f>IFERROR(INDEX(Diccionarios!$B$2:$B$201,MATCH($A264,Diccionarios!$D$2:$D$201,0))&amp;"","")</f>
        <v/>
      </c>
      <c r="R264" s="7" t="str">
        <f>IFERROR(INDEX(Diccionarios!$C$2:$C$201,MATCH($A264,Diccionarios!$D$2:$D$201,0))&amp;"","")</f>
        <v/>
      </c>
      <c r="S264" s="7" t="str">
        <f>IFERROR(INDEX(Modelos!$K$2:$K$301,MATCH($B264,Modelos!$C$2:$C$301,0))&amp;"","")</f>
        <v/>
      </c>
      <c r="T264" s="7" t="str">
        <f>IFERROR(INDEX(Modelos!$L$2:$L$301,MATCH($B264,Modelos!$C$2:$C$301,0))&amp;"","")</f>
        <v/>
      </c>
    </row>
    <row r="265" spans="1:20" x14ac:dyDescent="0.25">
      <c r="A265" s="5"/>
      <c r="B265" s="5"/>
      <c r="C265" s="5"/>
      <c r="D265" s="6"/>
      <c r="E265" s="5"/>
      <c r="F265" s="7" t="str">
        <f>IF(AND(A265&lt;&gt;"",B265&lt;&gt;"",C265&lt;&gt;"",D265&lt;&gt;""),LEFT(A265,2)&amp;LEFT(B265,4)&amp;LEFT(C265,2)&amp;SUBSTITUTE(UPPER(D265),"Ú","U"),"")</f>
        <v/>
      </c>
      <c r="G265" s="7" t="str">
        <f>IFERROR(INDEX(Modelos!$B$2:$B$301,MATCH($B265,Modelos!$C$2:$C$301,0))&amp;"","")</f>
        <v/>
      </c>
      <c r="H265" s="7" t="str">
        <f>IFERROR(INDEX(Modelos!$D$2:$D$301,MATCH($B265,Modelos!$C$2:$C$301,0))&amp;"","")</f>
        <v/>
      </c>
      <c r="I265" s="7" t="str">
        <f>IFERROR(INDEX(Modelos!$E$2:$E$301,MATCH($B265,Modelos!$C$2:$C$301,0))&amp;"","")</f>
        <v/>
      </c>
      <c r="J265" s="7" t="str">
        <f>IFERROR(INDEX(Modelos!$F$2:$F$301,MATCH($B265,Modelos!$C$2:$C$301,0))&amp;"","")</f>
        <v/>
      </c>
      <c r="K265" s="7" t="str">
        <f>IFERROR(INDEX(Modelos!$G$2:$G$301,MATCH($B265,Modelos!$C$2:$C$301,0))&amp;"","")</f>
        <v/>
      </c>
      <c r="L265" s="7" t="str">
        <f>IFERROR(INDEX(Diccionarios!$G$2:$G$201,MATCH($C265,Diccionarios!$H$2:$H$201,0))&amp;"","")</f>
        <v/>
      </c>
      <c r="M265" s="7" t="str">
        <f>IF(D265="","",D265&amp;"")</f>
        <v/>
      </c>
      <c r="N265" s="8" t="str">
        <f>IF($B265="","",IFERROR(INDEX(Modelos!$H$2:$H$301,MATCH($B265,Modelos!$C$2:$C$301,0)),""))</f>
        <v/>
      </c>
      <c r="O265" s="8" t="str">
        <f>IF($B265="","",IFERROR(INDEX(Modelos!$I$2:$I$301,MATCH($B265,Modelos!$C$2:$C$301,0)),""))</f>
        <v/>
      </c>
      <c r="P265" s="8" t="str">
        <f>IF($B265="","",IFERROR(INDEX(Modelos!$J$2:$J$301,MATCH($B265,Modelos!$C$2:$C$301,0)),""))</f>
        <v/>
      </c>
      <c r="Q265" s="7" t="str">
        <f>IFERROR(INDEX(Diccionarios!$B$2:$B$201,MATCH($A265,Diccionarios!$D$2:$D$201,0))&amp;"","")</f>
        <v/>
      </c>
      <c r="R265" s="7" t="str">
        <f>IFERROR(INDEX(Diccionarios!$C$2:$C$201,MATCH($A265,Diccionarios!$D$2:$D$201,0))&amp;"","")</f>
        <v/>
      </c>
      <c r="S265" s="7" t="str">
        <f>IFERROR(INDEX(Modelos!$K$2:$K$301,MATCH($B265,Modelos!$C$2:$C$301,0))&amp;"","")</f>
        <v/>
      </c>
      <c r="T265" s="7" t="str">
        <f>IFERROR(INDEX(Modelos!$L$2:$L$301,MATCH($B265,Modelos!$C$2:$C$301,0))&amp;"","")</f>
        <v/>
      </c>
    </row>
    <row r="266" spans="1:20" x14ac:dyDescent="0.25">
      <c r="A266" s="5"/>
      <c r="B266" s="5"/>
      <c r="C266" s="5"/>
      <c r="D266" s="6"/>
      <c r="E266" s="5"/>
      <c r="F266" s="7" t="str">
        <f>IF(AND(A266&lt;&gt;"",B266&lt;&gt;"",C266&lt;&gt;"",D266&lt;&gt;""),LEFT(A266,2)&amp;LEFT(B266,4)&amp;LEFT(C266,2)&amp;SUBSTITUTE(UPPER(D266),"Ú","U"),"")</f>
        <v/>
      </c>
      <c r="G266" s="7" t="str">
        <f>IFERROR(INDEX(Modelos!$B$2:$B$301,MATCH($B266,Modelos!$C$2:$C$301,0))&amp;"","")</f>
        <v/>
      </c>
      <c r="H266" s="7" t="str">
        <f>IFERROR(INDEX(Modelos!$D$2:$D$301,MATCH($B266,Modelos!$C$2:$C$301,0))&amp;"","")</f>
        <v/>
      </c>
      <c r="I266" s="7" t="str">
        <f>IFERROR(INDEX(Modelos!$E$2:$E$301,MATCH($B266,Modelos!$C$2:$C$301,0))&amp;"","")</f>
        <v/>
      </c>
      <c r="J266" s="7" t="str">
        <f>IFERROR(INDEX(Modelos!$F$2:$F$301,MATCH($B266,Modelos!$C$2:$C$301,0))&amp;"","")</f>
        <v/>
      </c>
      <c r="K266" s="7" t="str">
        <f>IFERROR(INDEX(Modelos!$G$2:$G$301,MATCH($B266,Modelos!$C$2:$C$301,0))&amp;"","")</f>
        <v/>
      </c>
      <c r="L266" s="7" t="str">
        <f>IFERROR(INDEX(Diccionarios!$G$2:$G$201,MATCH($C266,Diccionarios!$H$2:$H$201,0))&amp;"","")</f>
        <v/>
      </c>
      <c r="M266" s="7" t="str">
        <f>IF(D266="","",D266&amp;"")</f>
        <v/>
      </c>
      <c r="N266" s="8" t="str">
        <f>IF($B266="","",IFERROR(INDEX(Modelos!$H$2:$H$301,MATCH($B266,Modelos!$C$2:$C$301,0)),""))</f>
        <v/>
      </c>
      <c r="O266" s="8" t="str">
        <f>IF($B266="","",IFERROR(INDEX(Modelos!$I$2:$I$301,MATCH($B266,Modelos!$C$2:$C$301,0)),""))</f>
        <v/>
      </c>
      <c r="P266" s="8" t="str">
        <f>IF($B266="","",IFERROR(INDEX(Modelos!$J$2:$J$301,MATCH($B266,Modelos!$C$2:$C$301,0)),""))</f>
        <v/>
      </c>
      <c r="Q266" s="7" t="str">
        <f>IFERROR(INDEX(Diccionarios!$B$2:$B$201,MATCH($A266,Diccionarios!$D$2:$D$201,0))&amp;"","")</f>
        <v/>
      </c>
      <c r="R266" s="7" t="str">
        <f>IFERROR(INDEX(Diccionarios!$C$2:$C$201,MATCH($A266,Diccionarios!$D$2:$D$201,0))&amp;"","")</f>
        <v/>
      </c>
      <c r="S266" s="7" t="str">
        <f>IFERROR(INDEX(Modelos!$K$2:$K$301,MATCH($B266,Modelos!$C$2:$C$301,0))&amp;"","")</f>
        <v/>
      </c>
      <c r="T266" s="7" t="str">
        <f>IFERROR(INDEX(Modelos!$L$2:$L$301,MATCH($B266,Modelos!$C$2:$C$301,0))&amp;"","")</f>
        <v/>
      </c>
    </row>
    <row r="267" spans="1:20" x14ac:dyDescent="0.25">
      <c r="A267" s="5"/>
      <c r="B267" s="5"/>
      <c r="C267" s="5"/>
      <c r="D267" s="6"/>
      <c r="E267" s="5"/>
      <c r="F267" s="7" t="str">
        <f>IF(AND(A267&lt;&gt;"",B267&lt;&gt;"",C267&lt;&gt;"",D267&lt;&gt;""),LEFT(A267,2)&amp;LEFT(B267,4)&amp;LEFT(C267,2)&amp;SUBSTITUTE(UPPER(D267),"Ú","U"),"")</f>
        <v/>
      </c>
      <c r="G267" s="7" t="str">
        <f>IFERROR(INDEX(Modelos!$B$2:$B$301,MATCH($B267,Modelos!$C$2:$C$301,0))&amp;"","")</f>
        <v/>
      </c>
      <c r="H267" s="7" t="str">
        <f>IFERROR(INDEX(Modelos!$D$2:$D$301,MATCH($B267,Modelos!$C$2:$C$301,0))&amp;"","")</f>
        <v/>
      </c>
      <c r="I267" s="7" t="str">
        <f>IFERROR(INDEX(Modelos!$E$2:$E$301,MATCH($B267,Modelos!$C$2:$C$301,0))&amp;"","")</f>
        <v/>
      </c>
      <c r="J267" s="7" t="str">
        <f>IFERROR(INDEX(Modelos!$F$2:$F$301,MATCH($B267,Modelos!$C$2:$C$301,0))&amp;"","")</f>
        <v/>
      </c>
      <c r="K267" s="7" t="str">
        <f>IFERROR(INDEX(Modelos!$G$2:$G$301,MATCH($B267,Modelos!$C$2:$C$301,0))&amp;"","")</f>
        <v/>
      </c>
      <c r="L267" s="7" t="str">
        <f>IFERROR(INDEX(Diccionarios!$G$2:$G$201,MATCH($C267,Diccionarios!$H$2:$H$201,0))&amp;"","")</f>
        <v/>
      </c>
      <c r="M267" s="7" t="str">
        <f>IF(D267="","",D267&amp;"")</f>
        <v/>
      </c>
      <c r="N267" s="8" t="str">
        <f>IF($B267="","",IFERROR(INDEX(Modelos!$H$2:$H$301,MATCH($B267,Modelos!$C$2:$C$301,0)),""))</f>
        <v/>
      </c>
      <c r="O267" s="8" t="str">
        <f>IF($B267="","",IFERROR(INDEX(Modelos!$I$2:$I$301,MATCH($B267,Modelos!$C$2:$C$301,0)),""))</f>
        <v/>
      </c>
      <c r="P267" s="8" t="str">
        <f>IF($B267="","",IFERROR(INDEX(Modelos!$J$2:$J$301,MATCH($B267,Modelos!$C$2:$C$301,0)),""))</f>
        <v/>
      </c>
      <c r="Q267" s="7" t="str">
        <f>IFERROR(INDEX(Diccionarios!$B$2:$B$201,MATCH($A267,Diccionarios!$D$2:$D$201,0))&amp;"","")</f>
        <v/>
      </c>
      <c r="R267" s="7" t="str">
        <f>IFERROR(INDEX(Diccionarios!$C$2:$C$201,MATCH($A267,Diccionarios!$D$2:$D$201,0))&amp;"","")</f>
        <v/>
      </c>
      <c r="S267" s="7" t="str">
        <f>IFERROR(INDEX(Modelos!$K$2:$K$301,MATCH($B267,Modelos!$C$2:$C$301,0))&amp;"","")</f>
        <v/>
      </c>
      <c r="T267" s="7" t="str">
        <f>IFERROR(INDEX(Modelos!$L$2:$L$301,MATCH($B267,Modelos!$C$2:$C$301,0))&amp;"","")</f>
        <v/>
      </c>
    </row>
    <row r="268" spans="1:20" x14ac:dyDescent="0.25">
      <c r="A268" s="5"/>
      <c r="B268" s="5"/>
      <c r="C268" s="5"/>
      <c r="D268" s="6"/>
      <c r="E268" s="5"/>
      <c r="F268" s="7" t="str">
        <f>IF(AND(A268&lt;&gt;"",B268&lt;&gt;"",C268&lt;&gt;"",D268&lt;&gt;""),LEFT(A268,2)&amp;LEFT(B268,4)&amp;LEFT(C268,2)&amp;SUBSTITUTE(UPPER(D268),"Ú","U"),"")</f>
        <v/>
      </c>
      <c r="G268" s="7" t="str">
        <f>IFERROR(INDEX(Modelos!$B$2:$B$301,MATCH($B268,Modelos!$C$2:$C$301,0))&amp;"","")</f>
        <v/>
      </c>
      <c r="H268" s="7" t="str">
        <f>IFERROR(INDEX(Modelos!$D$2:$D$301,MATCH($B268,Modelos!$C$2:$C$301,0))&amp;"","")</f>
        <v/>
      </c>
      <c r="I268" s="7" t="str">
        <f>IFERROR(INDEX(Modelos!$E$2:$E$301,MATCH($B268,Modelos!$C$2:$C$301,0))&amp;"","")</f>
        <v/>
      </c>
      <c r="J268" s="7" t="str">
        <f>IFERROR(INDEX(Modelos!$F$2:$F$301,MATCH($B268,Modelos!$C$2:$C$301,0))&amp;"","")</f>
        <v/>
      </c>
      <c r="K268" s="7" t="str">
        <f>IFERROR(INDEX(Modelos!$G$2:$G$301,MATCH($B268,Modelos!$C$2:$C$301,0))&amp;"","")</f>
        <v/>
      </c>
      <c r="L268" s="7" t="str">
        <f>IFERROR(INDEX(Diccionarios!$G$2:$G$201,MATCH($C268,Diccionarios!$H$2:$H$201,0))&amp;"","")</f>
        <v/>
      </c>
      <c r="M268" s="7" t="str">
        <f>IF(D268="","",D268&amp;"")</f>
        <v/>
      </c>
      <c r="N268" s="8" t="str">
        <f>IF($B268="","",IFERROR(INDEX(Modelos!$H$2:$H$301,MATCH($B268,Modelos!$C$2:$C$301,0)),""))</f>
        <v/>
      </c>
      <c r="O268" s="8" t="str">
        <f>IF($B268="","",IFERROR(INDEX(Modelos!$I$2:$I$301,MATCH($B268,Modelos!$C$2:$C$301,0)),""))</f>
        <v/>
      </c>
      <c r="P268" s="8" t="str">
        <f>IF($B268="","",IFERROR(INDEX(Modelos!$J$2:$J$301,MATCH($B268,Modelos!$C$2:$C$301,0)),""))</f>
        <v/>
      </c>
      <c r="Q268" s="7" t="str">
        <f>IFERROR(INDEX(Diccionarios!$B$2:$B$201,MATCH($A268,Diccionarios!$D$2:$D$201,0))&amp;"","")</f>
        <v/>
      </c>
      <c r="R268" s="7" t="str">
        <f>IFERROR(INDEX(Diccionarios!$C$2:$C$201,MATCH($A268,Diccionarios!$D$2:$D$201,0))&amp;"","")</f>
        <v/>
      </c>
      <c r="S268" s="7" t="str">
        <f>IFERROR(INDEX(Modelos!$K$2:$K$301,MATCH($B268,Modelos!$C$2:$C$301,0))&amp;"","")</f>
        <v/>
      </c>
      <c r="T268" s="7" t="str">
        <f>IFERROR(INDEX(Modelos!$L$2:$L$301,MATCH($B268,Modelos!$C$2:$C$301,0))&amp;"","")</f>
        <v/>
      </c>
    </row>
    <row r="269" spans="1:20" x14ac:dyDescent="0.25">
      <c r="A269" s="5"/>
      <c r="B269" s="5"/>
      <c r="C269" s="5"/>
      <c r="D269" s="6"/>
      <c r="E269" s="5"/>
      <c r="F269" s="7" t="str">
        <f>IF(AND(A269&lt;&gt;"",B269&lt;&gt;"",C269&lt;&gt;"",D269&lt;&gt;""),LEFT(A269,2)&amp;LEFT(B269,4)&amp;LEFT(C269,2)&amp;SUBSTITUTE(UPPER(D269),"Ú","U"),"")</f>
        <v/>
      </c>
      <c r="G269" s="7" t="str">
        <f>IFERROR(INDEX(Modelos!$B$2:$B$301,MATCH($B269,Modelos!$C$2:$C$301,0))&amp;"","")</f>
        <v/>
      </c>
      <c r="H269" s="7" t="str">
        <f>IFERROR(INDEX(Modelos!$D$2:$D$301,MATCH($B269,Modelos!$C$2:$C$301,0))&amp;"","")</f>
        <v/>
      </c>
      <c r="I269" s="7" t="str">
        <f>IFERROR(INDEX(Modelos!$E$2:$E$301,MATCH($B269,Modelos!$C$2:$C$301,0))&amp;"","")</f>
        <v/>
      </c>
      <c r="J269" s="7" t="str">
        <f>IFERROR(INDEX(Modelos!$F$2:$F$301,MATCH($B269,Modelos!$C$2:$C$301,0))&amp;"","")</f>
        <v/>
      </c>
      <c r="K269" s="7" t="str">
        <f>IFERROR(INDEX(Modelos!$G$2:$G$301,MATCH($B269,Modelos!$C$2:$C$301,0))&amp;"","")</f>
        <v/>
      </c>
      <c r="L269" s="7" t="str">
        <f>IFERROR(INDEX(Diccionarios!$G$2:$G$201,MATCH($C269,Diccionarios!$H$2:$H$201,0))&amp;"","")</f>
        <v/>
      </c>
      <c r="M269" s="7" t="str">
        <f>IF(D269="","",D269&amp;"")</f>
        <v/>
      </c>
      <c r="N269" s="8" t="str">
        <f>IF($B269="","",IFERROR(INDEX(Modelos!$H$2:$H$301,MATCH($B269,Modelos!$C$2:$C$301,0)),""))</f>
        <v/>
      </c>
      <c r="O269" s="8" t="str">
        <f>IF($B269="","",IFERROR(INDEX(Modelos!$I$2:$I$301,MATCH($B269,Modelos!$C$2:$C$301,0)),""))</f>
        <v/>
      </c>
      <c r="P269" s="8" t="str">
        <f>IF($B269="","",IFERROR(INDEX(Modelos!$J$2:$J$301,MATCH($B269,Modelos!$C$2:$C$301,0)),""))</f>
        <v/>
      </c>
      <c r="Q269" s="7" t="str">
        <f>IFERROR(INDEX(Diccionarios!$B$2:$B$201,MATCH($A269,Diccionarios!$D$2:$D$201,0))&amp;"","")</f>
        <v/>
      </c>
      <c r="R269" s="7" t="str">
        <f>IFERROR(INDEX(Diccionarios!$C$2:$C$201,MATCH($A269,Diccionarios!$D$2:$D$201,0))&amp;"","")</f>
        <v/>
      </c>
      <c r="S269" s="7" t="str">
        <f>IFERROR(INDEX(Modelos!$K$2:$K$301,MATCH($B269,Modelos!$C$2:$C$301,0))&amp;"","")</f>
        <v/>
      </c>
      <c r="T269" s="7" t="str">
        <f>IFERROR(INDEX(Modelos!$L$2:$L$301,MATCH($B269,Modelos!$C$2:$C$301,0))&amp;"","")</f>
        <v/>
      </c>
    </row>
    <row r="270" spans="1:20" x14ac:dyDescent="0.25">
      <c r="A270" s="5"/>
      <c r="B270" s="5"/>
      <c r="C270" s="5"/>
      <c r="D270" s="6"/>
      <c r="E270" s="5"/>
      <c r="F270" s="7" t="str">
        <f>IF(AND(A270&lt;&gt;"",B270&lt;&gt;"",C270&lt;&gt;"",D270&lt;&gt;""),LEFT(A270,2)&amp;LEFT(B270,4)&amp;LEFT(C270,2)&amp;SUBSTITUTE(UPPER(D270),"Ú","U"),"")</f>
        <v/>
      </c>
      <c r="G270" s="7" t="str">
        <f>IFERROR(INDEX(Modelos!$B$2:$B$301,MATCH($B270,Modelos!$C$2:$C$301,0))&amp;"","")</f>
        <v/>
      </c>
      <c r="H270" s="7" t="str">
        <f>IFERROR(INDEX(Modelos!$D$2:$D$301,MATCH($B270,Modelos!$C$2:$C$301,0))&amp;"","")</f>
        <v/>
      </c>
      <c r="I270" s="7" t="str">
        <f>IFERROR(INDEX(Modelos!$E$2:$E$301,MATCH($B270,Modelos!$C$2:$C$301,0))&amp;"","")</f>
        <v/>
      </c>
      <c r="J270" s="7" t="str">
        <f>IFERROR(INDEX(Modelos!$F$2:$F$301,MATCH($B270,Modelos!$C$2:$C$301,0))&amp;"","")</f>
        <v/>
      </c>
      <c r="K270" s="7" t="str">
        <f>IFERROR(INDEX(Modelos!$G$2:$G$301,MATCH($B270,Modelos!$C$2:$C$301,0))&amp;"","")</f>
        <v/>
      </c>
      <c r="L270" s="7" t="str">
        <f>IFERROR(INDEX(Diccionarios!$G$2:$G$201,MATCH($C270,Diccionarios!$H$2:$H$201,0))&amp;"","")</f>
        <v/>
      </c>
      <c r="M270" s="7" t="str">
        <f>IF(D270="","",D270&amp;"")</f>
        <v/>
      </c>
      <c r="N270" s="8" t="str">
        <f>IF($B270="","",IFERROR(INDEX(Modelos!$H$2:$H$301,MATCH($B270,Modelos!$C$2:$C$301,0)),""))</f>
        <v/>
      </c>
      <c r="O270" s="8" t="str">
        <f>IF($B270="","",IFERROR(INDEX(Modelos!$I$2:$I$301,MATCH($B270,Modelos!$C$2:$C$301,0)),""))</f>
        <v/>
      </c>
      <c r="P270" s="8" t="str">
        <f>IF($B270="","",IFERROR(INDEX(Modelos!$J$2:$J$301,MATCH($B270,Modelos!$C$2:$C$301,0)),""))</f>
        <v/>
      </c>
      <c r="Q270" s="7" t="str">
        <f>IFERROR(INDEX(Diccionarios!$B$2:$B$201,MATCH($A270,Diccionarios!$D$2:$D$201,0))&amp;"","")</f>
        <v/>
      </c>
      <c r="R270" s="7" t="str">
        <f>IFERROR(INDEX(Diccionarios!$C$2:$C$201,MATCH($A270,Diccionarios!$D$2:$D$201,0))&amp;"","")</f>
        <v/>
      </c>
      <c r="S270" s="7" t="str">
        <f>IFERROR(INDEX(Modelos!$K$2:$K$301,MATCH($B270,Modelos!$C$2:$C$301,0))&amp;"","")</f>
        <v/>
      </c>
      <c r="T270" s="7" t="str">
        <f>IFERROR(INDEX(Modelos!$L$2:$L$301,MATCH($B270,Modelos!$C$2:$C$301,0))&amp;"","")</f>
        <v/>
      </c>
    </row>
    <row r="271" spans="1:20" x14ac:dyDescent="0.25">
      <c r="A271" s="5"/>
      <c r="B271" s="5"/>
      <c r="C271" s="5"/>
      <c r="D271" s="6"/>
      <c r="E271" s="5"/>
      <c r="F271" s="7" t="str">
        <f>IF(AND(A271&lt;&gt;"",B271&lt;&gt;"",C271&lt;&gt;"",D271&lt;&gt;""),LEFT(A271,2)&amp;LEFT(B271,4)&amp;LEFT(C271,2)&amp;SUBSTITUTE(UPPER(D271),"Ú","U"),"")</f>
        <v/>
      </c>
      <c r="G271" s="7" t="str">
        <f>IFERROR(INDEX(Modelos!$B$2:$B$301,MATCH($B271,Modelos!$C$2:$C$301,0))&amp;"","")</f>
        <v/>
      </c>
      <c r="H271" s="7" t="str">
        <f>IFERROR(INDEX(Modelos!$D$2:$D$301,MATCH($B271,Modelos!$C$2:$C$301,0))&amp;"","")</f>
        <v/>
      </c>
      <c r="I271" s="7" t="str">
        <f>IFERROR(INDEX(Modelos!$E$2:$E$301,MATCH($B271,Modelos!$C$2:$C$301,0))&amp;"","")</f>
        <v/>
      </c>
      <c r="J271" s="7" t="str">
        <f>IFERROR(INDEX(Modelos!$F$2:$F$301,MATCH($B271,Modelos!$C$2:$C$301,0))&amp;"","")</f>
        <v/>
      </c>
      <c r="K271" s="7" t="str">
        <f>IFERROR(INDEX(Modelos!$G$2:$G$301,MATCH($B271,Modelos!$C$2:$C$301,0))&amp;"","")</f>
        <v/>
      </c>
      <c r="L271" s="7" t="str">
        <f>IFERROR(INDEX(Diccionarios!$G$2:$G$201,MATCH($C271,Diccionarios!$H$2:$H$201,0))&amp;"","")</f>
        <v/>
      </c>
      <c r="M271" s="7" t="str">
        <f>IF(D271="","",D271&amp;"")</f>
        <v/>
      </c>
      <c r="N271" s="8" t="str">
        <f>IF($B271="","",IFERROR(INDEX(Modelos!$H$2:$H$301,MATCH($B271,Modelos!$C$2:$C$301,0)),""))</f>
        <v/>
      </c>
      <c r="O271" s="8" t="str">
        <f>IF($B271="","",IFERROR(INDEX(Modelos!$I$2:$I$301,MATCH($B271,Modelos!$C$2:$C$301,0)),""))</f>
        <v/>
      </c>
      <c r="P271" s="8" t="str">
        <f>IF($B271="","",IFERROR(INDEX(Modelos!$J$2:$J$301,MATCH($B271,Modelos!$C$2:$C$301,0)),""))</f>
        <v/>
      </c>
      <c r="Q271" s="7" t="str">
        <f>IFERROR(INDEX(Diccionarios!$B$2:$B$201,MATCH($A271,Diccionarios!$D$2:$D$201,0))&amp;"","")</f>
        <v/>
      </c>
      <c r="R271" s="7" t="str">
        <f>IFERROR(INDEX(Diccionarios!$C$2:$C$201,MATCH($A271,Diccionarios!$D$2:$D$201,0))&amp;"","")</f>
        <v/>
      </c>
      <c r="S271" s="7" t="str">
        <f>IFERROR(INDEX(Modelos!$K$2:$K$301,MATCH($B271,Modelos!$C$2:$C$301,0))&amp;"","")</f>
        <v/>
      </c>
      <c r="T271" s="7" t="str">
        <f>IFERROR(INDEX(Modelos!$L$2:$L$301,MATCH($B271,Modelos!$C$2:$C$301,0))&amp;"","")</f>
        <v/>
      </c>
    </row>
    <row r="272" spans="1:20" x14ac:dyDescent="0.25">
      <c r="A272" s="5"/>
      <c r="B272" s="5"/>
      <c r="C272" s="5"/>
      <c r="D272" s="6"/>
      <c r="E272" s="5"/>
      <c r="F272" s="7" t="str">
        <f>IF(AND(A272&lt;&gt;"",B272&lt;&gt;"",C272&lt;&gt;"",D272&lt;&gt;""),LEFT(A272,2)&amp;LEFT(B272,4)&amp;LEFT(C272,2)&amp;SUBSTITUTE(UPPER(D272),"Ú","U"),"")</f>
        <v/>
      </c>
      <c r="G272" s="7" t="str">
        <f>IFERROR(INDEX(Modelos!$B$2:$B$301,MATCH($B272,Modelos!$C$2:$C$301,0))&amp;"","")</f>
        <v/>
      </c>
      <c r="H272" s="7" t="str">
        <f>IFERROR(INDEX(Modelos!$D$2:$D$301,MATCH($B272,Modelos!$C$2:$C$301,0))&amp;"","")</f>
        <v/>
      </c>
      <c r="I272" s="7" t="str">
        <f>IFERROR(INDEX(Modelos!$E$2:$E$301,MATCH($B272,Modelos!$C$2:$C$301,0))&amp;"","")</f>
        <v/>
      </c>
      <c r="J272" s="7" t="str">
        <f>IFERROR(INDEX(Modelos!$F$2:$F$301,MATCH($B272,Modelos!$C$2:$C$301,0))&amp;"","")</f>
        <v/>
      </c>
      <c r="K272" s="7" t="str">
        <f>IFERROR(INDEX(Modelos!$G$2:$G$301,MATCH($B272,Modelos!$C$2:$C$301,0))&amp;"","")</f>
        <v/>
      </c>
      <c r="L272" s="7" t="str">
        <f>IFERROR(INDEX(Diccionarios!$G$2:$G$201,MATCH($C272,Diccionarios!$H$2:$H$201,0))&amp;"","")</f>
        <v/>
      </c>
      <c r="M272" s="7" t="str">
        <f>IF(D272="","",D272&amp;"")</f>
        <v/>
      </c>
      <c r="N272" s="8" t="str">
        <f>IF($B272="","",IFERROR(INDEX(Modelos!$H$2:$H$301,MATCH($B272,Modelos!$C$2:$C$301,0)),""))</f>
        <v/>
      </c>
      <c r="O272" s="8" t="str">
        <f>IF($B272="","",IFERROR(INDEX(Modelos!$I$2:$I$301,MATCH($B272,Modelos!$C$2:$C$301,0)),""))</f>
        <v/>
      </c>
      <c r="P272" s="8" t="str">
        <f>IF($B272="","",IFERROR(INDEX(Modelos!$J$2:$J$301,MATCH($B272,Modelos!$C$2:$C$301,0)),""))</f>
        <v/>
      </c>
      <c r="Q272" s="7" t="str">
        <f>IFERROR(INDEX(Diccionarios!$B$2:$B$201,MATCH($A272,Diccionarios!$D$2:$D$201,0))&amp;"","")</f>
        <v/>
      </c>
      <c r="R272" s="7" t="str">
        <f>IFERROR(INDEX(Diccionarios!$C$2:$C$201,MATCH($A272,Diccionarios!$D$2:$D$201,0))&amp;"","")</f>
        <v/>
      </c>
      <c r="S272" s="7" t="str">
        <f>IFERROR(INDEX(Modelos!$K$2:$K$301,MATCH($B272,Modelos!$C$2:$C$301,0))&amp;"","")</f>
        <v/>
      </c>
      <c r="T272" s="7" t="str">
        <f>IFERROR(INDEX(Modelos!$L$2:$L$301,MATCH($B272,Modelos!$C$2:$C$301,0))&amp;"","")</f>
        <v/>
      </c>
    </row>
    <row r="273" spans="1:20" x14ac:dyDescent="0.25">
      <c r="A273" s="5"/>
      <c r="B273" s="5"/>
      <c r="C273" s="5"/>
      <c r="D273" s="6"/>
      <c r="E273" s="5"/>
      <c r="F273" s="7" t="str">
        <f>IF(AND(A273&lt;&gt;"",B273&lt;&gt;"",C273&lt;&gt;"",D273&lt;&gt;""),LEFT(A273,2)&amp;LEFT(B273,4)&amp;LEFT(C273,2)&amp;SUBSTITUTE(UPPER(D273),"Ú","U"),"")</f>
        <v/>
      </c>
      <c r="G273" s="7" t="str">
        <f>IFERROR(INDEX(Modelos!$B$2:$B$301,MATCH($B273,Modelos!$C$2:$C$301,0))&amp;"","")</f>
        <v/>
      </c>
      <c r="H273" s="7" t="str">
        <f>IFERROR(INDEX(Modelos!$D$2:$D$301,MATCH($B273,Modelos!$C$2:$C$301,0))&amp;"","")</f>
        <v/>
      </c>
      <c r="I273" s="7" t="str">
        <f>IFERROR(INDEX(Modelos!$E$2:$E$301,MATCH($B273,Modelos!$C$2:$C$301,0))&amp;"","")</f>
        <v/>
      </c>
      <c r="J273" s="7" t="str">
        <f>IFERROR(INDEX(Modelos!$F$2:$F$301,MATCH($B273,Modelos!$C$2:$C$301,0))&amp;"","")</f>
        <v/>
      </c>
      <c r="K273" s="7" t="str">
        <f>IFERROR(INDEX(Modelos!$G$2:$G$301,MATCH($B273,Modelos!$C$2:$C$301,0))&amp;"","")</f>
        <v/>
      </c>
      <c r="L273" s="7" t="str">
        <f>IFERROR(INDEX(Diccionarios!$G$2:$G$201,MATCH($C273,Diccionarios!$H$2:$H$201,0))&amp;"","")</f>
        <v/>
      </c>
      <c r="M273" s="7" t="str">
        <f>IF(D273="","",D273&amp;"")</f>
        <v/>
      </c>
      <c r="N273" s="8" t="str">
        <f>IF($B273="","",IFERROR(INDEX(Modelos!$H$2:$H$301,MATCH($B273,Modelos!$C$2:$C$301,0)),""))</f>
        <v/>
      </c>
      <c r="O273" s="8" t="str">
        <f>IF($B273="","",IFERROR(INDEX(Modelos!$I$2:$I$301,MATCH($B273,Modelos!$C$2:$C$301,0)),""))</f>
        <v/>
      </c>
      <c r="P273" s="8" t="str">
        <f>IF($B273="","",IFERROR(INDEX(Modelos!$J$2:$J$301,MATCH($B273,Modelos!$C$2:$C$301,0)),""))</f>
        <v/>
      </c>
      <c r="Q273" s="7" t="str">
        <f>IFERROR(INDEX(Diccionarios!$B$2:$B$201,MATCH($A273,Diccionarios!$D$2:$D$201,0))&amp;"","")</f>
        <v/>
      </c>
      <c r="R273" s="7" t="str">
        <f>IFERROR(INDEX(Diccionarios!$C$2:$C$201,MATCH($A273,Diccionarios!$D$2:$D$201,0))&amp;"","")</f>
        <v/>
      </c>
      <c r="S273" s="7" t="str">
        <f>IFERROR(INDEX(Modelos!$K$2:$K$301,MATCH($B273,Modelos!$C$2:$C$301,0))&amp;"","")</f>
        <v/>
      </c>
      <c r="T273" s="7" t="str">
        <f>IFERROR(INDEX(Modelos!$L$2:$L$301,MATCH($B273,Modelos!$C$2:$C$301,0))&amp;"","")</f>
        <v/>
      </c>
    </row>
    <row r="274" spans="1:20" x14ac:dyDescent="0.25">
      <c r="A274" s="5"/>
      <c r="B274" s="5"/>
      <c r="C274" s="5"/>
      <c r="D274" s="6"/>
      <c r="E274" s="5"/>
      <c r="F274" s="7" t="str">
        <f>IF(AND(A274&lt;&gt;"",B274&lt;&gt;"",C274&lt;&gt;"",D274&lt;&gt;""),LEFT(A274,2)&amp;LEFT(B274,4)&amp;LEFT(C274,2)&amp;SUBSTITUTE(UPPER(D274),"Ú","U"),"")</f>
        <v/>
      </c>
      <c r="G274" s="7" t="str">
        <f>IFERROR(INDEX(Modelos!$B$2:$B$301,MATCH($B274,Modelos!$C$2:$C$301,0))&amp;"","")</f>
        <v/>
      </c>
      <c r="H274" s="7" t="str">
        <f>IFERROR(INDEX(Modelos!$D$2:$D$301,MATCH($B274,Modelos!$C$2:$C$301,0))&amp;"","")</f>
        <v/>
      </c>
      <c r="I274" s="7" t="str">
        <f>IFERROR(INDEX(Modelos!$E$2:$E$301,MATCH($B274,Modelos!$C$2:$C$301,0))&amp;"","")</f>
        <v/>
      </c>
      <c r="J274" s="7" t="str">
        <f>IFERROR(INDEX(Modelos!$F$2:$F$301,MATCH($B274,Modelos!$C$2:$C$301,0))&amp;"","")</f>
        <v/>
      </c>
      <c r="K274" s="7" t="str">
        <f>IFERROR(INDEX(Modelos!$G$2:$G$301,MATCH($B274,Modelos!$C$2:$C$301,0))&amp;"","")</f>
        <v/>
      </c>
      <c r="L274" s="7" t="str">
        <f>IFERROR(INDEX(Diccionarios!$G$2:$G$201,MATCH($C274,Diccionarios!$H$2:$H$201,0))&amp;"","")</f>
        <v/>
      </c>
      <c r="M274" s="7" t="str">
        <f>IF(D274="","",D274&amp;"")</f>
        <v/>
      </c>
      <c r="N274" s="8" t="str">
        <f>IF($B274="","",IFERROR(INDEX(Modelos!$H$2:$H$301,MATCH($B274,Modelos!$C$2:$C$301,0)),""))</f>
        <v/>
      </c>
      <c r="O274" s="8" t="str">
        <f>IF($B274="","",IFERROR(INDEX(Modelos!$I$2:$I$301,MATCH($B274,Modelos!$C$2:$C$301,0)),""))</f>
        <v/>
      </c>
      <c r="P274" s="8" t="str">
        <f>IF($B274="","",IFERROR(INDEX(Modelos!$J$2:$J$301,MATCH($B274,Modelos!$C$2:$C$301,0)),""))</f>
        <v/>
      </c>
      <c r="Q274" s="7" t="str">
        <f>IFERROR(INDEX(Diccionarios!$B$2:$B$201,MATCH($A274,Diccionarios!$D$2:$D$201,0))&amp;"","")</f>
        <v/>
      </c>
      <c r="R274" s="7" t="str">
        <f>IFERROR(INDEX(Diccionarios!$C$2:$C$201,MATCH($A274,Diccionarios!$D$2:$D$201,0))&amp;"","")</f>
        <v/>
      </c>
      <c r="S274" s="7" t="str">
        <f>IFERROR(INDEX(Modelos!$K$2:$K$301,MATCH($B274,Modelos!$C$2:$C$301,0))&amp;"","")</f>
        <v/>
      </c>
      <c r="T274" s="7" t="str">
        <f>IFERROR(INDEX(Modelos!$L$2:$L$301,MATCH($B274,Modelos!$C$2:$C$301,0))&amp;"","")</f>
        <v/>
      </c>
    </row>
    <row r="275" spans="1:20" x14ac:dyDescent="0.25">
      <c r="A275" s="5"/>
      <c r="B275" s="5"/>
      <c r="C275" s="5"/>
      <c r="D275" s="6"/>
      <c r="E275" s="5"/>
      <c r="F275" s="7" t="str">
        <f>IF(AND(A275&lt;&gt;"",B275&lt;&gt;"",C275&lt;&gt;"",D275&lt;&gt;""),LEFT(A275,2)&amp;LEFT(B275,4)&amp;LEFT(C275,2)&amp;SUBSTITUTE(UPPER(D275),"Ú","U"),"")</f>
        <v/>
      </c>
      <c r="G275" s="7" t="str">
        <f>IFERROR(INDEX(Modelos!$B$2:$B$301,MATCH($B275,Modelos!$C$2:$C$301,0))&amp;"","")</f>
        <v/>
      </c>
      <c r="H275" s="7" t="str">
        <f>IFERROR(INDEX(Modelos!$D$2:$D$301,MATCH($B275,Modelos!$C$2:$C$301,0))&amp;"","")</f>
        <v/>
      </c>
      <c r="I275" s="7" t="str">
        <f>IFERROR(INDEX(Modelos!$E$2:$E$301,MATCH($B275,Modelos!$C$2:$C$301,0))&amp;"","")</f>
        <v/>
      </c>
      <c r="J275" s="7" t="str">
        <f>IFERROR(INDEX(Modelos!$F$2:$F$301,MATCH($B275,Modelos!$C$2:$C$301,0))&amp;"","")</f>
        <v/>
      </c>
      <c r="K275" s="7" t="str">
        <f>IFERROR(INDEX(Modelos!$G$2:$G$301,MATCH($B275,Modelos!$C$2:$C$301,0))&amp;"","")</f>
        <v/>
      </c>
      <c r="L275" s="7" t="str">
        <f>IFERROR(INDEX(Diccionarios!$G$2:$G$201,MATCH($C275,Diccionarios!$H$2:$H$201,0))&amp;"","")</f>
        <v/>
      </c>
      <c r="M275" s="7" t="str">
        <f>IF(D275="","",D275&amp;"")</f>
        <v/>
      </c>
      <c r="N275" s="8" t="str">
        <f>IF($B275="","",IFERROR(INDEX(Modelos!$H$2:$H$301,MATCH($B275,Modelos!$C$2:$C$301,0)),""))</f>
        <v/>
      </c>
      <c r="O275" s="8" t="str">
        <f>IF($B275="","",IFERROR(INDEX(Modelos!$I$2:$I$301,MATCH($B275,Modelos!$C$2:$C$301,0)),""))</f>
        <v/>
      </c>
      <c r="P275" s="8" t="str">
        <f>IF($B275="","",IFERROR(INDEX(Modelos!$J$2:$J$301,MATCH($B275,Modelos!$C$2:$C$301,0)),""))</f>
        <v/>
      </c>
      <c r="Q275" s="7" t="str">
        <f>IFERROR(INDEX(Diccionarios!$B$2:$B$201,MATCH($A275,Diccionarios!$D$2:$D$201,0))&amp;"","")</f>
        <v/>
      </c>
      <c r="R275" s="7" t="str">
        <f>IFERROR(INDEX(Diccionarios!$C$2:$C$201,MATCH($A275,Diccionarios!$D$2:$D$201,0))&amp;"","")</f>
        <v/>
      </c>
      <c r="S275" s="7" t="str">
        <f>IFERROR(INDEX(Modelos!$K$2:$K$301,MATCH($B275,Modelos!$C$2:$C$301,0))&amp;"","")</f>
        <v/>
      </c>
      <c r="T275" s="7" t="str">
        <f>IFERROR(INDEX(Modelos!$L$2:$L$301,MATCH($B275,Modelos!$C$2:$C$301,0))&amp;"","")</f>
        <v/>
      </c>
    </row>
    <row r="276" spans="1:20" x14ac:dyDescent="0.25">
      <c r="A276" s="5"/>
      <c r="B276" s="5"/>
      <c r="C276" s="5"/>
      <c r="D276" s="6"/>
      <c r="E276" s="5"/>
      <c r="F276" s="7" t="str">
        <f>IF(AND(A276&lt;&gt;"",B276&lt;&gt;"",C276&lt;&gt;"",D276&lt;&gt;""),LEFT(A276,2)&amp;LEFT(B276,4)&amp;LEFT(C276,2)&amp;SUBSTITUTE(UPPER(D276),"Ú","U"),"")</f>
        <v/>
      </c>
      <c r="G276" s="7" t="str">
        <f>IFERROR(INDEX(Modelos!$B$2:$B$301,MATCH($B276,Modelos!$C$2:$C$301,0))&amp;"","")</f>
        <v/>
      </c>
      <c r="H276" s="7" t="str">
        <f>IFERROR(INDEX(Modelos!$D$2:$D$301,MATCH($B276,Modelos!$C$2:$C$301,0))&amp;"","")</f>
        <v/>
      </c>
      <c r="I276" s="7" t="str">
        <f>IFERROR(INDEX(Modelos!$E$2:$E$301,MATCH($B276,Modelos!$C$2:$C$301,0))&amp;"","")</f>
        <v/>
      </c>
      <c r="J276" s="7" t="str">
        <f>IFERROR(INDEX(Modelos!$F$2:$F$301,MATCH($B276,Modelos!$C$2:$C$301,0))&amp;"","")</f>
        <v/>
      </c>
      <c r="K276" s="7" t="str">
        <f>IFERROR(INDEX(Modelos!$G$2:$G$301,MATCH($B276,Modelos!$C$2:$C$301,0))&amp;"","")</f>
        <v/>
      </c>
      <c r="L276" s="7" t="str">
        <f>IFERROR(INDEX(Diccionarios!$G$2:$G$201,MATCH($C276,Diccionarios!$H$2:$H$201,0))&amp;"","")</f>
        <v/>
      </c>
      <c r="M276" s="7" t="str">
        <f>IF(D276="","",D276&amp;"")</f>
        <v/>
      </c>
      <c r="N276" s="8" t="str">
        <f>IF($B276="","",IFERROR(INDEX(Modelos!$H$2:$H$301,MATCH($B276,Modelos!$C$2:$C$301,0)),""))</f>
        <v/>
      </c>
      <c r="O276" s="8" t="str">
        <f>IF($B276="","",IFERROR(INDEX(Modelos!$I$2:$I$301,MATCH($B276,Modelos!$C$2:$C$301,0)),""))</f>
        <v/>
      </c>
      <c r="P276" s="8" t="str">
        <f>IF($B276="","",IFERROR(INDEX(Modelos!$J$2:$J$301,MATCH($B276,Modelos!$C$2:$C$301,0)),""))</f>
        <v/>
      </c>
      <c r="Q276" s="7" t="str">
        <f>IFERROR(INDEX(Diccionarios!$B$2:$B$201,MATCH($A276,Diccionarios!$D$2:$D$201,0))&amp;"","")</f>
        <v/>
      </c>
      <c r="R276" s="7" t="str">
        <f>IFERROR(INDEX(Diccionarios!$C$2:$C$201,MATCH($A276,Diccionarios!$D$2:$D$201,0))&amp;"","")</f>
        <v/>
      </c>
      <c r="S276" s="7" t="str">
        <f>IFERROR(INDEX(Modelos!$K$2:$K$301,MATCH($B276,Modelos!$C$2:$C$301,0))&amp;"","")</f>
        <v/>
      </c>
      <c r="T276" s="7" t="str">
        <f>IFERROR(INDEX(Modelos!$L$2:$L$301,MATCH($B276,Modelos!$C$2:$C$301,0))&amp;"","")</f>
        <v/>
      </c>
    </row>
    <row r="277" spans="1:20" x14ac:dyDescent="0.25">
      <c r="A277" s="5"/>
      <c r="B277" s="5"/>
      <c r="C277" s="5"/>
      <c r="D277" s="6"/>
      <c r="E277" s="5"/>
      <c r="F277" s="7" t="str">
        <f>IF(AND(A277&lt;&gt;"",B277&lt;&gt;"",C277&lt;&gt;"",D277&lt;&gt;""),LEFT(A277,2)&amp;LEFT(B277,4)&amp;LEFT(C277,2)&amp;SUBSTITUTE(UPPER(D277),"Ú","U"),"")</f>
        <v/>
      </c>
      <c r="G277" s="7" t="str">
        <f>IFERROR(INDEX(Modelos!$B$2:$B$301,MATCH($B277,Modelos!$C$2:$C$301,0))&amp;"","")</f>
        <v/>
      </c>
      <c r="H277" s="7" t="str">
        <f>IFERROR(INDEX(Modelos!$D$2:$D$301,MATCH($B277,Modelos!$C$2:$C$301,0))&amp;"","")</f>
        <v/>
      </c>
      <c r="I277" s="7" t="str">
        <f>IFERROR(INDEX(Modelos!$E$2:$E$301,MATCH($B277,Modelos!$C$2:$C$301,0))&amp;"","")</f>
        <v/>
      </c>
      <c r="J277" s="7" t="str">
        <f>IFERROR(INDEX(Modelos!$F$2:$F$301,MATCH($B277,Modelos!$C$2:$C$301,0))&amp;"","")</f>
        <v/>
      </c>
      <c r="K277" s="7" t="str">
        <f>IFERROR(INDEX(Modelos!$G$2:$G$301,MATCH($B277,Modelos!$C$2:$C$301,0))&amp;"","")</f>
        <v/>
      </c>
      <c r="L277" s="7" t="str">
        <f>IFERROR(INDEX(Diccionarios!$G$2:$G$201,MATCH($C277,Diccionarios!$H$2:$H$201,0))&amp;"","")</f>
        <v/>
      </c>
      <c r="M277" s="7" t="str">
        <f>IF(D277="","",D277&amp;"")</f>
        <v/>
      </c>
      <c r="N277" s="8" t="str">
        <f>IF($B277="","",IFERROR(INDEX(Modelos!$H$2:$H$301,MATCH($B277,Modelos!$C$2:$C$301,0)),""))</f>
        <v/>
      </c>
      <c r="O277" s="8" t="str">
        <f>IF($B277="","",IFERROR(INDEX(Modelos!$I$2:$I$301,MATCH($B277,Modelos!$C$2:$C$301,0)),""))</f>
        <v/>
      </c>
      <c r="P277" s="8" t="str">
        <f>IF($B277="","",IFERROR(INDEX(Modelos!$J$2:$J$301,MATCH($B277,Modelos!$C$2:$C$301,0)),""))</f>
        <v/>
      </c>
      <c r="Q277" s="7" t="str">
        <f>IFERROR(INDEX(Diccionarios!$B$2:$B$201,MATCH($A277,Diccionarios!$D$2:$D$201,0))&amp;"","")</f>
        <v/>
      </c>
      <c r="R277" s="7" t="str">
        <f>IFERROR(INDEX(Diccionarios!$C$2:$C$201,MATCH($A277,Diccionarios!$D$2:$D$201,0))&amp;"","")</f>
        <v/>
      </c>
      <c r="S277" s="7" t="str">
        <f>IFERROR(INDEX(Modelos!$K$2:$K$301,MATCH($B277,Modelos!$C$2:$C$301,0))&amp;"","")</f>
        <v/>
      </c>
      <c r="T277" s="7" t="str">
        <f>IFERROR(INDEX(Modelos!$L$2:$L$301,MATCH($B277,Modelos!$C$2:$C$301,0))&amp;"","")</f>
        <v/>
      </c>
    </row>
    <row r="278" spans="1:20" x14ac:dyDescent="0.25">
      <c r="A278" s="5"/>
      <c r="B278" s="5"/>
      <c r="C278" s="5"/>
      <c r="D278" s="6"/>
      <c r="E278" s="5"/>
      <c r="F278" s="7" t="str">
        <f>IF(AND(A278&lt;&gt;"",B278&lt;&gt;"",C278&lt;&gt;"",D278&lt;&gt;""),LEFT(A278,2)&amp;LEFT(B278,4)&amp;LEFT(C278,2)&amp;SUBSTITUTE(UPPER(D278),"Ú","U"),"")</f>
        <v/>
      </c>
      <c r="G278" s="7" t="str">
        <f>IFERROR(INDEX(Modelos!$B$2:$B$301,MATCH($B278,Modelos!$C$2:$C$301,0))&amp;"","")</f>
        <v/>
      </c>
      <c r="H278" s="7" t="str">
        <f>IFERROR(INDEX(Modelos!$D$2:$D$301,MATCH($B278,Modelos!$C$2:$C$301,0))&amp;"","")</f>
        <v/>
      </c>
      <c r="I278" s="7" t="str">
        <f>IFERROR(INDEX(Modelos!$E$2:$E$301,MATCH($B278,Modelos!$C$2:$C$301,0))&amp;"","")</f>
        <v/>
      </c>
      <c r="J278" s="7" t="str">
        <f>IFERROR(INDEX(Modelos!$F$2:$F$301,MATCH($B278,Modelos!$C$2:$C$301,0))&amp;"","")</f>
        <v/>
      </c>
      <c r="K278" s="7" t="str">
        <f>IFERROR(INDEX(Modelos!$G$2:$G$301,MATCH($B278,Modelos!$C$2:$C$301,0))&amp;"","")</f>
        <v/>
      </c>
      <c r="L278" s="7" t="str">
        <f>IFERROR(INDEX(Diccionarios!$G$2:$G$201,MATCH($C278,Diccionarios!$H$2:$H$201,0))&amp;"","")</f>
        <v/>
      </c>
      <c r="M278" s="7" t="str">
        <f>IF(D278="","",D278&amp;"")</f>
        <v/>
      </c>
      <c r="N278" s="8" t="str">
        <f>IF($B278="","",IFERROR(INDEX(Modelos!$H$2:$H$301,MATCH($B278,Modelos!$C$2:$C$301,0)),""))</f>
        <v/>
      </c>
      <c r="O278" s="8" t="str">
        <f>IF($B278="","",IFERROR(INDEX(Modelos!$I$2:$I$301,MATCH($B278,Modelos!$C$2:$C$301,0)),""))</f>
        <v/>
      </c>
      <c r="P278" s="8" t="str">
        <f>IF($B278="","",IFERROR(INDEX(Modelos!$J$2:$J$301,MATCH($B278,Modelos!$C$2:$C$301,0)),""))</f>
        <v/>
      </c>
      <c r="Q278" s="7" t="str">
        <f>IFERROR(INDEX(Diccionarios!$B$2:$B$201,MATCH($A278,Diccionarios!$D$2:$D$201,0))&amp;"","")</f>
        <v/>
      </c>
      <c r="R278" s="7" t="str">
        <f>IFERROR(INDEX(Diccionarios!$C$2:$C$201,MATCH($A278,Diccionarios!$D$2:$D$201,0))&amp;"","")</f>
        <v/>
      </c>
      <c r="S278" s="7" t="str">
        <f>IFERROR(INDEX(Modelos!$K$2:$K$301,MATCH($B278,Modelos!$C$2:$C$301,0))&amp;"","")</f>
        <v/>
      </c>
      <c r="T278" s="7" t="str">
        <f>IFERROR(INDEX(Modelos!$L$2:$L$301,MATCH($B278,Modelos!$C$2:$C$301,0))&amp;"","")</f>
        <v/>
      </c>
    </row>
    <row r="279" spans="1:20" x14ac:dyDescent="0.25">
      <c r="A279" s="5"/>
      <c r="B279" s="5"/>
      <c r="C279" s="5"/>
      <c r="D279" s="6"/>
      <c r="E279" s="5"/>
      <c r="F279" s="7" t="str">
        <f>IF(AND(A279&lt;&gt;"",B279&lt;&gt;"",C279&lt;&gt;"",D279&lt;&gt;""),LEFT(A279,2)&amp;LEFT(B279,4)&amp;LEFT(C279,2)&amp;SUBSTITUTE(UPPER(D279),"Ú","U"),"")</f>
        <v/>
      </c>
      <c r="G279" s="7" t="str">
        <f>IFERROR(INDEX(Modelos!$B$2:$B$301,MATCH($B279,Modelos!$C$2:$C$301,0))&amp;"","")</f>
        <v/>
      </c>
      <c r="H279" s="7" t="str">
        <f>IFERROR(INDEX(Modelos!$D$2:$D$301,MATCH($B279,Modelos!$C$2:$C$301,0))&amp;"","")</f>
        <v/>
      </c>
      <c r="I279" s="7" t="str">
        <f>IFERROR(INDEX(Modelos!$E$2:$E$301,MATCH($B279,Modelos!$C$2:$C$301,0))&amp;"","")</f>
        <v/>
      </c>
      <c r="J279" s="7" t="str">
        <f>IFERROR(INDEX(Modelos!$F$2:$F$301,MATCH($B279,Modelos!$C$2:$C$301,0))&amp;"","")</f>
        <v/>
      </c>
      <c r="K279" s="7" t="str">
        <f>IFERROR(INDEX(Modelos!$G$2:$G$301,MATCH($B279,Modelos!$C$2:$C$301,0))&amp;"","")</f>
        <v/>
      </c>
      <c r="L279" s="7" t="str">
        <f>IFERROR(INDEX(Diccionarios!$G$2:$G$201,MATCH($C279,Diccionarios!$H$2:$H$201,0))&amp;"","")</f>
        <v/>
      </c>
      <c r="M279" s="7" t="str">
        <f>IF(D279="","",D279&amp;"")</f>
        <v/>
      </c>
      <c r="N279" s="8" t="str">
        <f>IF($B279="","",IFERROR(INDEX(Modelos!$H$2:$H$301,MATCH($B279,Modelos!$C$2:$C$301,0)),""))</f>
        <v/>
      </c>
      <c r="O279" s="8" t="str">
        <f>IF($B279="","",IFERROR(INDEX(Modelos!$I$2:$I$301,MATCH($B279,Modelos!$C$2:$C$301,0)),""))</f>
        <v/>
      </c>
      <c r="P279" s="8" t="str">
        <f>IF($B279="","",IFERROR(INDEX(Modelos!$J$2:$J$301,MATCH($B279,Modelos!$C$2:$C$301,0)),""))</f>
        <v/>
      </c>
      <c r="Q279" s="7" t="str">
        <f>IFERROR(INDEX(Diccionarios!$B$2:$B$201,MATCH($A279,Diccionarios!$D$2:$D$201,0))&amp;"","")</f>
        <v/>
      </c>
      <c r="R279" s="7" t="str">
        <f>IFERROR(INDEX(Diccionarios!$C$2:$C$201,MATCH($A279,Diccionarios!$D$2:$D$201,0))&amp;"","")</f>
        <v/>
      </c>
      <c r="S279" s="7" t="str">
        <f>IFERROR(INDEX(Modelos!$K$2:$K$301,MATCH($B279,Modelos!$C$2:$C$301,0))&amp;"","")</f>
        <v/>
      </c>
      <c r="T279" s="7" t="str">
        <f>IFERROR(INDEX(Modelos!$L$2:$L$301,MATCH($B279,Modelos!$C$2:$C$301,0))&amp;"","")</f>
        <v/>
      </c>
    </row>
    <row r="280" spans="1:20" x14ac:dyDescent="0.25">
      <c r="A280" s="5"/>
      <c r="B280" s="5"/>
      <c r="C280" s="5"/>
      <c r="D280" s="6"/>
      <c r="E280" s="5"/>
      <c r="F280" s="7" t="str">
        <f>IF(AND(A280&lt;&gt;"",B280&lt;&gt;"",C280&lt;&gt;"",D280&lt;&gt;""),LEFT(A280,2)&amp;LEFT(B280,4)&amp;LEFT(C280,2)&amp;SUBSTITUTE(UPPER(D280),"Ú","U"),"")</f>
        <v/>
      </c>
      <c r="G280" s="7" t="str">
        <f>IFERROR(INDEX(Modelos!$B$2:$B$301,MATCH($B280,Modelos!$C$2:$C$301,0))&amp;"","")</f>
        <v/>
      </c>
      <c r="H280" s="7" t="str">
        <f>IFERROR(INDEX(Modelos!$D$2:$D$301,MATCH($B280,Modelos!$C$2:$C$301,0))&amp;"","")</f>
        <v/>
      </c>
      <c r="I280" s="7" t="str">
        <f>IFERROR(INDEX(Modelos!$E$2:$E$301,MATCH($B280,Modelos!$C$2:$C$301,0))&amp;"","")</f>
        <v/>
      </c>
      <c r="J280" s="7" t="str">
        <f>IFERROR(INDEX(Modelos!$F$2:$F$301,MATCH($B280,Modelos!$C$2:$C$301,0))&amp;"","")</f>
        <v/>
      </c>
      <c r="K280" s="7" t="str">
        <f>IFERROR(INDEX(Modelos!$G$2:$G$301,MATCH($B280,Modelos!$C$2:$C$301,0))&amp;"","")</f>
        <v/>
      </c>
      <c r="L280" s="7" t="str">
        <f>IFERROR(INDEX(Diccionarios!$G$2:$G$201,MATCH($C280,Diccionarios!$H$2:$H$201,0))&amp;"","")</f>
        <v/>
      </c>
      <c r="M280" s="7" t="str">
        <f>IF(D280="","",D280&amp;"")</f>
        <v/>
      </c>
      <c r="N280" s="8" t="str">
        <f>IF($B280="","",IFERROR(INDEX(Modelos!$H$2:$H$301,MATCH($B280,Modelos!$C$2:$C$301,0)),""))</f>
        <v/>
      </c>
      <c r="O280" s="8" t="str">
        <f>IF($B280="","",IFERROR(INDEX(Modelos!$I$2:$I$301,MATCH($B280,Modelos!$C$2:$C$301,0)),""))</f>
        <v/>
      </c>
      <c r="P280" s="8" t="str">
        <f>IF($B280="","",IFERROR(INDEX(Modelos!$J$2:$J$301,MATCH($B280,Modelos!$C$2:$C$301,0)),""))</f>
        <v/>
      </c>
      <c r="Q280" s="7" t="str">
        <f>IFERROR(INDEX(Diccionarios!$B$2:$B$201,MATCH($A280,Diccionarios!$D$2:$D$201,0))&amp;"","")</f>
        <v/>
      </c>
      <c r="R280" s="7" t="str">
        <f>IFERROR(INDEX(Diccionarios!$C$2:$C$201,MATCH($A280,Diccionarios!$D$2:$D$201,0))&amp;"","")</f>
        <v/>
      </c>
      <c r="S280" s="7" t="str">
        <f>IFERROR(INDEX(Modelos!$K$2:$K$301,MATCH($B280,Modelos!$C$2:$C$301,0))&amp;"","")</f>
        <v/>
      </c>
      <c r="T280" s="7" t="str">
        <f>IFERROR(INDEX(Modelos!$L$2:$L$301,MATCH($B280,Modelos!$C$2:$C$301,0))&amp;"","")</f>
        <v/>
      </c>
    </row>
    <row r="281" spans="1:20" x14ac:dyDescent="0.25">
      <c r="A281" s="5"/>
      <c r="B281" s="5"/>
      <c r="C281" s="5"/>
      <c r="D281" s="6"/>
      <c r="E281" s="5"/>
      <c r="F281" s="7" t="str">
        <f>IF(AND(A281&lt;&gt;"",B281&lt;&gt;"",C281&lt;&gt;"",D281&lt;&gt;""),LEFT(A281,2)&amp;LEFT(B281,4)&amp;LEFT(C281,2)&amp;SUBSTITUTE(UPPER(D281),"Ú","U"),"")</f>
        <v/>
      </c>
      <c r="G281" s="7" t="str">
        <f>IFERROR(INDEX(Modelos!$B$2:$B$301,MATCH($B281,Modelos!$C$2:$C$301,0))&amp;"","")</f>
        <v/>
      </c>
      <c r="H281" s="7" t="str">
        <f>IFERROR(INDEX(Modelos!$D$2:$D$301,MATCH($B281,Modelos!$C$2:$C$301,0))&amp;"","")</f>
        <v/>
      </c>
      <c r="I281" s="7" t="str">
        <f>IFERROR(INDEX(Modelos!$E$2:$E$301,MATCH($B281,Modelos!$C$2:$C$301,0))&amp;"","")</f>
        <v/>
      </c>
      <c r="J281" s="7" t="str">
        <f>IFERROR(INDEX(Modelos!$F$2:$F$301,MATCH($B281,Modelos!$C$2:$C$301,0))&amp;"","")</f>
        <v/>
      </c>
      <c r="K281" s="7" t="str">
        <f>IFERROR(INDEX(Modelos!$G$2:$G$301,MATCH($B281,Modelos!$C$2:$C$301,0))&amp;"","")</f>
        <v/>
      </c>
      <c r="L281" s="7" t="str">
        <f>IFERROR(INDEX(Diccionarios!$G$2:$G$201,MATCH($C281,Diccionarios!$H$2:$H$201,0))&amp;"","")</f>
        <v/>
      </c>
      <c r="M281" s="7" t="str">
        <f>IF(D281="","",D281&amp;"")</f>
        <v/>
      </c>
      <c r="N281" s="8" t="str">
        <f>IF($B281="","",IFERROR(INDEX(Modelos!$H$2:$H$301,MATCH($B281,Modelos!$C$2:$C$301,0)),""))</f>
        <v/>
      </c>
      <c r="O281" s="8" t="str">
        <f>IF($B281="","",IFERROR(INDEX(Modelos!$I$2:$I$301,MATCH($B281,Modelos!$C$2:$C$301,0)),""))</f>
        <v/>
      </c>
      <c r="P281" s="8" t="str">
        <f>IF($B281="","",IFERROR(INDEX(Modelos!$J$2:$J$301,MATCH($B281,Modelos!$C$2:$C$301,0)),""))</f>
        <v/>
      </c>
      <c r="Q281" s="7" t="str">
        <f>IFERROR(INDEX(Diccionarios!$B$2:$B$201,MATCH($A281,Diccionarios!$D$2:$D$201,0))&amp;"","")</f>
        <v/>
      </c>
      <c r="R281" s="7" t="str">
        <f>IFERROR(INDEX(Diccionarios!$C$2:$C$201,MATCH($A281,Diccionarios!$D$2:$D$201,0))&amp;"","")</f>
        <v/>
      </c>
      <c r="S281" s="7" t="str">
        <f>IFERROR(INDEX(Modelos!$K$2:$K$301,MATCH($B281,Modelos!$C$2:$C$301,0))&amp;"","")</f>
        <v/>
      </c>
      <c r="T281" s="7" t="str">
        <f>IFERROR(INDEX(Modelos!$L$2:$L$301,MATCH($B281,Modelos!$C$2:$C$301,0))&amp;"","")</f>
        <v/>
      </c>
    </row>
    <row r="282" spans="1:20" x14ac:dyDescent="0.25">
      <c r="A282" s="5"/>
      <c r="B282" s="5"/>
      <c r="C282" s="5"/>
      <c r="D282" s="6"/>
      <c r="E282" s="5"/>
      <c r="F282" s="7" t="str">
        <f>IF(AND(A282&lt;&gt;"",B282&lt;&gt;"",C282&lt;&gt;"",D282&lt;&gt;""),LEFT(A282,2)&amp;LEFT(B282,4)&amp;LEFT(C282,2)&amp;SUBSTITUTE(UPPER(D282),"Ú","U"),"")</f>
        <v/>
      </c>
      <c r="G282" s="7" t="str">
        <f>IFERROR(INDEX(Modelos!$B$2:$B$301,MATCH($B282,Modelos!$C$2:$C$301,0))&amp;"","")</f>
        <v/>
      </c>
      <c r="H282" s="7" t="str">
        <f>IFERROR(INDEX(Modelos!$D$2:$D$301,MATCH($B282,Modelos!$C$2:$C$301,0))&amp;"","")</f>
        <v/>
      </c>
      <c r="I282" s="7" t="str">
        <f>IFERROR(INDEX(Modelos!$E$2:$E$301,MATCH($B282,Modelos!$C$2:$C$301,0))&amp;"","")</f>
        <v/>
      </c>
      <c r="J282" s="7" t="str">
        <f>IFERROR(INDEX(Modelos!$F$2:$F$301,MATCH($B282,Modelos!$C$2:$C$301,0))&amp;"","")</f>
        <v/>
      </c>
      <c r="K282" s="7" t="str">
        <f>IFERROR(INDEX(Modelos!$G$2:$G$301,MATCH($B282,Modelos!$C$2:$C$301,0))&amp;"","")</f>
        <v/>
      </c>
      <c r="L282" s="7" t="str">
        <f>IFERROR(INDEX(Diccionarios!$G$2:$G$201,MATCH($C282,Diccionarios!$H$2:$H$201,0))&amp;"","")</f>
        <v/>
      </c>
      <c r="M282" s="7" t="str">
        <f>IF(D282="","",D282&amp;"")</f>
        <v/>
      </c>
      <c r="N282" s="8" t="str">
        <f>IF($B282="","",IFERROR(INDEX(Modelos!$H$2:$H$301,MATCH($B282,Modelos!$C$2:$C$301,0)),""))</f>
        <v/>
      </c>
      <c r="O282" s="8" t="str">
        <f>IF($B282="","",IFERROR(INDEX(Modelos!$I$2:$I$301,MATCH($B282,Modelos!$C$2:$C$301,0)),""))</f>
        <v/>
      </c>
      <c r="P282" s="8" t="str">
        <f>IF($B282="","",IFERROR(INDEX(Modelos!$J$2:$J$301,MATCH($B282,Modelos!$C$2:$C$301,0)),""))</f>
        <v/>
      </c>
      <c r="Q282" s="7" t="str">
        <f>IFERROR(INDEX(Diccionarios!$B$2:$B$201,MATCH($A282,Diccionarios!$D$2:$D$201,0))&amp;"","")</f>
        <v/>
      </c>
      <c r="R282" s="7" t="str">
        <f>IFERROR(INDEX(Diccionarios!$C$2:$C$201,MATCH($A282,Diccionarios!$D$2:$D$201,0))&amp;"","")</f>
        <v/>
      </c>
      <c r="S282" s="7" t="str">
        <f>IFERROR(INDEX(Modelos!$K$2:$K$301,MATCH($B282,Modelos!$C$2:$C$301,0))&amp;"","")</f>
        <v/>
      </c>
      <c r="T282" s="7" t="str">
        <f>IFERROR(INDEX(Modelos!$L$2:$L$301,MATCH($B282,Modelos!$C$2:$C$301,0))&amp;"","")</f>
        <v/>
      </c>
    </row>
    <row r="283" spans="1:20" x14ac:dyDescent="0.25">
      <c r="A283" s="5"/>
      <c r="B283" s="5"/>
      <c r="C283" s="5"/>
      <c r="D283" s="6"/>
      <c r="E283" s="5"/>
      <c r="F283" s="7" t="str">
        <f>IF(AND(A283&lt;&gt;"",B283&lt;&gt;"",C283&lt;&gt;"",D283&lt;&gt;""),LEFT(A283,2)&amp;LEFT(B283,4)&amp;LEFT(C283,2)&amp;SUBSTITUTE(UPPER(D283),"Ú","U"),"")</f>
        <v/>
      </c>
      <c r="G283" s="7" t="str">
        <f>IFERROR(INDEX(Modelos!$B$2:$B$301,MATCH($B283,Modelos!$C$2:$C$301,0))&amp;"","")</f>
        <v/>
      </c>
      <c r="H283" s="7" t="str">
        <f>IFERROR(INDEX(Modelos!$D$2:$D$301,MATCH($B283,Modelos!$C$2:$C$301,0))&amp;"","")</f>
        <v/>
      </c>
      <c r="I283" s="7" t="str">
        <f>IFERROR(INDEX(Modelos!$E$2:$E$301,MATCH($B283,Modelos!$C$2:$C$301,0))&amp;"","")</f>
        <v/>
      </c>
      <c r="J283" s="7" t="str">
        <f>IFERROR(INDEX(Modelos!$F$2:$F$301,MATCH($B283,Modelos!$C$2:$C$301,0))&amp;"","")</f>
        <v/>
      </c>
      <c r="K283" s="7" t="str">
        <f>IFERROR(INDEX(Modelos!$G$2:$G$301,MATCH($B283,Modelos!$C$2:$C$301,0))&amp;"","")</f>
        <v/>
      </c>
      <c r="L283" s="7" t="str">
        <f>IFERROR(INDEX(Diccionarios!$G$2:$G$201,MATCH($C283,Diccionarios!$H$2:$H$201,0))&amp;"","")</f>
        <v/>
      </c>
      <c r="M283" s="7" t="str">
        <f>IF(D283="","",D283&amp;"")</f>
        <v/>
      </c>
      <c r="N283" s="8" t="str">
        <f>IF($B283="","",IFERROR(INDEX(Modelos!$H$2:$H$301,MATCH($B283,Modelos!$C$2:$C$301,0)),""))</f>
        <v/>
      </c>
      <c r="O283" s="8" t="str">
        <f>IF($B283="","",IFERROR(INDEX(Modelos!$I$2:$I$301,MATCH($B283,Modelos!$C$2:$C$301,0)),""))</f>
        <v/>
      </c>
      <c r="P283" s="8" t="str">
        <f>IF($B283="","",IFERROR(INDEX(Modelos!$J$2:$J$301,MATCH($B283,Modelos!$C$2:$C$301,0)),""))</f>
        <v/>
      </c>
      <c r="Q283" s="7" t="str">
        <f>IFERROR(INDEX(Diccionarios!$B$2:$B$201,MATCH($A283,Diccionarios!$D$2:$D$201,0))&amp;"","")</f>
        <v/>
      </c>
      <c r="R283" s="7" t="str">
        <f>IFERROR(INDEX(Diccionarios!$C$2:$C$201,MATCH($A283,Diccionarios!$D$2:$D$201,0))&amp;"","")</f>
        <v/>
      </c>
      <c r="S283" s="7" t="str">
        <f>IFERROR(INDEX(Modelos!$K$2:$K$301,MATCH($B283,Modelos!$C$2:$C$301,0))&amp;"","")</f>
        <v/>
      </c>
      <c r="T283" s="7" t="str">
        <f>IFERROR(INDEX(Modelos!$L$2:$L$301,MATCH($B283,Modelos!$C$2:$C$301,0))&amp;"","")</f>
        <v/>
      </c>
    </row>
    <row r="284" spans="1:20" x14ac:dyDescent="0.25">
      <c r="A284" s="5"/>
      <c r="B284" s="5"/>
      <c r="C284" s="5"/>
      <c r="D284" s="6"/>
      <c r="E284" s="5"/>
      <c r="F284" s="7" t="str">
        <f>IF(AND(A284&lt;&gt;"",B284&lt;&gt;"",C284&lt;&gt;"",D284&lt;&gt;""),LEFT(A284,2)&amp;LEFT(B284,4)&amp;LEFT(C284,2)&amp;SUBSTITUTE(UPPER(D284),"Ú","U"),"")</f>
        <v/>
      </c>
      <c r="G284" s="7" t="str">
        <f>IFERROR(INDEX(Modelos!$B$2:$B$301,MATCH($B284,Modelos!$C$2:$C$301,0))&amp;"","")</f>
        <v/>
      </c>
      <c r="H284" s="7" t="str">
        <f>IFERROR(INDEX(Modelos!$D$2:$D$301,MATCH($B284,Modelos!$C$2:$C$301,0))&amp;"","")</f>
        <v/>
      </c>
      <c r="I284" s="7" t="str">
        <f>IFERROR(INDEX(Modelos!$E$2:$E$301,MATCH($B284,Modelos!$C$2:$C$301,0))&amp;"","")</f>
        <v/>
      </c>
      <c r="J284" s="7" t="str">
        <f>IFERROR(INDEX(Modelos!$F$2:$F$301,MATCH($B284,Modelos!$C$2:$C$301,0))&amp;"","")</f>
        <v/>
      </c>
      <c r="K284" s="7" t="str">
        <f>IFERROR(INDEX(Modelos!$G$2:$G$301,MATCH($B284,Modelos!$C$2:$C$301,0))&amp;"","")</f>
        <v/>
      </c>
      <c r="L284" s="7" t="str">
        <f>IFERROR(INDEX(Diccionarios!$G$2:$G$201,MATCH($C284,Diccionarios!$H$2:$H$201,0))&amp;"","")</f>
        <v/>
      </c>
      <c r="M284" s="7" t="str">
        <f>IF(D284="","",D284&amp;"")</f>
        <v/>
      </c>
      <c r="N284" s="8" t="str">
        <f>IF($B284="","",IFERROR(INDEX(Modelos!$H$2:$H$301,MATCH($B284,Modelos!$C$2:$C$301,0)),""))</f>
        <v/>
      </c>
      <c r="O284" s="8" t="str">
        <f>IF($B284="","",IFERROR(INDEX(Modelos!$I$2:$I$301,MATCH($B284,Modelos!$C$2:$C$301,0)),""))</f>
        <v/>
      </c>
      <c r="P284" s="8" t="str">
        <f>IF($B284="","",IFERROR(INDEX(Modelos!$J$2:$J$301,MATCH($B284,Modelos!$C$2:$C$301,0)),""))</f>
        <v/>
      </c>
      <c r="Q284" s="7" t="str">
        <f>IFERROR(INDEX(Diccionarios!$B$2:$B$201,MATCH($A284,Diccionarios!$D$2:$D$201,0))&amp;"","")</f>
        <v/>
      </c>
      <c r="R284" s="7" t="str">
        <f>IFERROR(INDEX(Diccionarios!$C$2:$C$201,MATCH($A284,Diccionarios!$D$2:$D$201,0))&amp;"","")</f>
        <v/>
      </c>
      <c r="S284" s="7" t="str">
        <f>IFERROR(INDEX(Modelos!$K$2:$K$301,MATCH($B284,Modelos!$C$2:$C$301,0))&amp;"","")</f>
        <v/>
      </c>
      <c r="T284" s="7" t="str">
        <f>IFERROR(INDEX(Modelos!$L$2:$L$301,MATCH($B284,Modelos!$C$2:$C$301,0))&amp;"","")</f>
        <v/>
      </c>
    </row>
    <row r="285" spans="1:20" x14ac:dyDescent="0.25">
      <c r="A285" s="5"/>
      <c r="B285" s="5"/>
      <c r="C285" s="5"/>
      <c r="D285" s="6"/>
      <c r="E285" s="5"/>
      <c r="F285" s="7" t="str">
        <f>IF(AND(A285&lt;&gt;"",B285&lt;&gt;"",C285&lt;&gt;"",D285&lt;&gt;""),LEFT(A285,2)&amp;LEFT(B285,4)&amp;LEFT(C285,2)&amp;SUBSTITUTE(UPPER(D285),"Ú","U"),"")</f>
        <v/>
      </c>
      <c r="G285" s="7" t="str">
        <f>IFERROR(INDEX(Modelos!$B$2:$B$301,MATCH($B285,Modelos!$C$2:$C$301,0))&amp;"","")</f>
        <v/>
      </c>
      <c r="H285" s="7" t="str">
        <f>IFERROR(INDEX(Modelos!$D$2:$D$301,MATCH($B285,Modelos!$C$2:$C$301,0))&amp;"","")</f>
        <v/>
      </c>
      <c r="I285" s="7" t="str">
        <f>IFERROR(INDEX(Modelos!$E$2:$E$301,MATCH($B285,Modelos!$C$2:$C$301,0))&amp;"","")</f>
        <v/>
      </c>
      <c r="J285" s="7" t="str">
        <f>IFERROR(INDEX(Modelos!$F$2:$F$301,MATCH($B285,Modelos!$C$2:$C$301,0))&amp;"","")</f>
        <v/>
      </c>
      <c r="K285" s="7" t="str">
        <f>IFERROR(INDEX(Modelos!$G$2:$G$301,MATCH($B285,Modelos!$C$2:$C$301,0))&amp;"","")</f>
        <v/>
      </c>
      <c r="L285" s="7" t="str">
        <f>IFERROR(INDEX(Diccionarios!$G$2:$G$201,MATCH($C285,Diccionarios!$H$2:$H$201,0))&amp;"","")</f>
        <v/>
      </c>
      <c r="M285" s="7" t="str">
        <f>IF(D285="","",D285&amp;"")</f>
        <v/>
      </c>
      <c r="N285" s="8" t="str">
        <f>IF($B285="","",IFERROR(INDEX(Modelos!$H$2:$H$301,MATCH($B285,Modelos!$C$2:$C$301,0)),""))</f>
        <v/>
      </c>
      <c r="O285" s="8" t="str">
        <f>IF($B285="","",IFERROR(INDEX(Modelos!$I$2:$I$301,MATCH($B285,Modelos!$C$2:$C$301,0)),""))</f>
        <v/>
      </c>
      <c r="P285" s="8" t="str">
        <f>IF($B285="","",IFERROR(INDEX(Modelos!$J$2:$J$301,MATCH($B285,Modelos!$C$2:$C$301,0)),""))</f>
        <v/>
      </c>
      <c r="Q285" s="7" t="str">
        <f>IFERROR(INDEX(Diccionarios!$B$2:$B$201,MATCH($A285,Diccionarios!$D$2:$D$201,0))&amp;"","")</f>
        <v/>
      </c>
      <c r="R285" s="7" t="str">
        <f>IFERROR(INDEX(Diccionarios!$C$2:$C$201,MATCH($A285,Diccionarios!$D$2:$D$201,0))&amp;"","")</f>
        <v/>
      </c>
      <c r="S285" s="7" t="str">
        <f>IFERROR(INDEX(Modelos!$K$2:$K$301,MATCH($B285,Modelos!$C$2:$C$301,0))&amp;"","")</f>
        <v/>
      </c>
      <c r="T285" s="7" t="str">
        <f>IFERROR(INDEX(Modelos!$L$2:$L$301,MATCH($B285,Modelos!$C$2:$C$301,0))&amp;"","")</f>
        <v/>
      </c>
    </row>
    <row r="286" spans="1:20" x14ac:dyDescent="0.25">
      <c r="A286" s="5"/>
      <c r="B286" s="5"/>
      <c r="C286" s="5"/>
      <c r="D286" s="6"/>
      <c r="E286" s="5"/>
      <c r="F286" s="7" t="str">
        <f>IF(AND(A286&lt;&gt;"",B286&lt;&gt;"",C286&lt;&gt;"",D286&lt;&gt;""),LEFT(A286,2)&amp;LEFT(B286,4)&amp;LEFT(C286,2)&amp;SUBSTITUTE(UPPER(D286),"Ú","U"),"")</f>
        <v/>
      </c>
      <c r="G286" s="7" t="str">
        <f>IFERROR(INDEX(Modelos!$B$2:$B$301,MATCH($B286,Modelos!$C$2:$C$301,0))&amp;"","")</f>
        <v/>
      </c>
      <c r="H286" s="7" t="str">
        <f>IFERROR(INDEX(Modelos!$D$2:$D$301,MATCH($B286,Modelos!$C$2:$C$301,0))&amp;"","")</f>
        <v/>
      </c>
      <c r="I286" s="7" t="str">
        <f>IFERROR(INDEX(Modelos!$E$2:$E$301,MATCH($B286,Modelos!$C$2:$C$301,0))&amp;"","")</f>
        <v/>
      </c>
      <c r="J286" s="7" t="str">
        <f>IFERROR(INDEX(Modelos!$F$2:$F$301,MATCH($B286,Modelos!$C$2:$C$301,0))&amp;"","")</f>
        <v/>
      </c>
      <c r="K286" s="7" t="str">
        <f>IFERROR(INDEX(Modelos!$G$2:$G$301,MATCH($B286,Modelos!$C$2:$C$301,0))&amp;"","")</f>
        <v/>
      </c>
      <c r="L286" s="7" t="str">
        <f>IFERROR(INDEX(Diccionarios!$G$2:$G$201,MATCH($C286,Diccionarios!$H$2:$H$201,0))&amp;"","")</f>
        <v/>
      </c>
      <c r="M286" s="7" t="str">
        <f>IF(D286="","",D286&amp;"")</f>
        <v/>
      </c>
      <c r="N286" s="8" t="str">
        <f>IF($B286="","",IFERROR(INDEX(Modelos!$H$2:$H$301,MATCH($B286,Modelos!$C$2:$C$301,0)),""))</f>
        <v/>
      </c>
      <c r="O286" s="8" t="str">
        <f>IF($B286="","",IFERROR(INDEX(Modelos!$I$2:$I$301,MATCH($B286,Modelos!$C$2:$C$301,0)),""))</f>
        <v/>
      </c>
      <c r="P286" s="8" t="str">
        <f>IF($B286="","",IFERROR(INDEX(Modelos!$J$2:$J$301,MATCH($B286,Modelos!$C$2:$C$301,0)),""))</f>
        <v/>
      </c>
      <c r="Q286" s="7" t="str">
        <f>IFERROR(INDEX(Diccionarios!$B$2:$B$201,MATCH($A286,Diccionarios!$D$2:$D$201,0))&amp;"","")</f>
        <v/>
      </c>
      <c r="R286" s="7" t="str">
        <f>IFERROR(INDEX(Diccionarios!$C$2:$C$201,MATCH($A286,Diccionarios!$D$2:$D$201,0))&amp;"","")</f>
        <v/>
      </c>
      <c r="S286" s="7" t="str">
        <f>IFERROR(INDEX(Modelos!$K$2:$K$301,MATCH($B286,Modelos!$C$2:$C$301,0))&amp;"","")</f>
        <v/>
      </c>
      <c r="T286" s="7" t="str">
        <f>IFERROR(INDEX(Modelos!$L$2:$L$301,MATCH($B286,Modelos!$C$2:$C$301,0))&amp;"","")</f>
        <v/>
      </c>
    </row>
    <row r="287" spans="1:20" x14ac:dyDescent="0.25">
      <c r="A287" s="5"/>
      <c r="B287" s="5"/>
      <c r="C287" s="5"/>
      <c r="D287" s="6"/>
      <c r="E287" s="5"/>
      <c r="F287" s="7" t="str">
        <f>IF(AND(A287&lt;&gt;"",B287&lt;&gt;"",C287&lt;&gt;"",D287&lt;&gt;""),LEFT(A287,2)&amp;LEFT(B287,4)&amp;LEFT(C287,2)&amp;SUBSTITUTE(UPPER(D287),"Ú","U"),"")</f>
        <v/>
      </c>
      <c r="G287" s="7" t="str">
        <f>IFERROR(INDEX(Modelos!$B$2:$B$301,MATCH($B287,Modelos!$C$2:$C$301,0))&amp;"","")</f>
        <v/>
      </c>
      <c r="H287" s="7" t="str">
        <f>IFERROR(INDEX(Modelos!$D$2:$D$301,MATCH($B287,Modelos!$C$2:$C$301,0))&amp;"","")</f>
        <v/>
      </c>
      <c r="I287" s="7" t="str">
        <f>IFERROR(INDEX(Modelos!$E$2:$E$301,MATCH($B287,Modelos!$C$2:$C$301,0))&amp;"","")</f>
        <v/>
      </c>
      <c r="J287" s="7" t="str">
        <f>IFERROR(INDEX(Modelos!$F$2:$F$301,MATCH($B287,Modelos!$C$2:$C$301,0))&amp;"","")</f>
        <v/>
      </c>
      <c r="K287" s="7" t="str">
        <f>IFERROR(INDEX(Modelos!$G$2:$G$301,MATCH($B287,Modelos!$C$2:$C$301,0))&amp;"","")</f>
        <v/>
      </c>
      <c r="L287" s="7" t="str">
        <f>IFERROR(INDEX(Diccionarios!$G$2:$G$201,MATCH($C287,Diccionarios!$H$2:$H$201,0))&amp;"","")</f>
        <v/>
      </c>
      <c r="M287" s="7" t="str">
        <f>IF(D287="","",D287&amp;"")</f>
        <v/>
      </c>
      <c r="N287" s="8" t="str">
        <f>IF($B287="","",IFERROR(INDEX(Modelos!$H$2:$H$301,MATCH($B287,Modelos!$C$2:$C$301,0)),""))</f>
        <v/>
      </c>
      <c r="O287" s="8" t="str">
        <f>IF($B287="","",IFERROR(INDEX(Modelos!$I$2:$I$301,MATCH($B287,Modelos!$C$2:$C$301,0)),""))</f>
        <v/>
      </c>
      <c r="P287" s="8" t="str">
        <f>IF($B287="","",IFERROR(INDEX(Modelos!$J$2:$J$301,MATCH($B287,Modelos!$C$2:$C$301,0)),""))</f>
        <v/>
      </c>
      <c r="Q287" s="7" t="str">
        <f>IFERROR(INDEX(Diccionarios!$B$2:$B$201,MATCH($A287,Diccionarios!$D$2:$D$201,0))&amp;"","")</f>
        <v/>
      </c>
      <c r="R287" s="7" t="str">
        <f>IFERROR(INDEX(Diccionarios!$C$2:$C$201,MATCH($A287,Diccionarios!$D$2:$D$201,0))&amp;"","")</f>
        <v/>
      </c>
      <c r="S287" s="7" t="str">
        <f>IFERROR(INDEX(Modelos!$K$2:$K$301,MATCH($B287,Modelos!$C$2:$C$301,0))&amp;"","")</f>
        <v/>
      </c>
      <c r="T287" s="7" t="str">
        <f>IFERROR(INDEX(Modelos!$L$2:$L$301,MATCH($B287,Modelos!$C$2:$C$301,0))&amp;"","")</f>
        <v/>
      </c>
    </row>
    <row r="288" spans="1:20" x14ac:dyDescent="0.25">
      <c r="A288" s="5"/>
      <c r="B288" s="5"/>
      <c r="C288" s="5"/>
      <c r="D288" s="6"/>
      <c r="E288" s="5"/>
      <c r="F288" s="7" t="str">
        <f>IF(AND(A288&lt;&gt;"",B288&lt;&gt;"",C288&lt;&gt;"",D288&lt;&gt;""),LEFT(A288,2)&amp;LEFT(B288,4)&amp;LEFT(C288,2)&amp;SUBSTITUTE(UPPER(D288),"Ú","U"),"")</f>
        <v/>
      </c>
      <c r="G288" s="7" t="str">
        <f>IFERROR(INDEX(Modelos!$B$2:$B$301,MATCH($B288,Modelos!$C$2:$C$301,0))&amp;"","")</f>
        <v/>
      </c>
      <c r="H288" s="7" t="str">
        <f>IFERROR(INDEX(Modelos!$D$2:$D$301,MATCH($B288,Modelos!$C$2:$C$301,0))&amp;"","")</f>
        <v/>
      </c>
      <c r="I288" s="7" t="str">
        <f>IFERROR(INDEX(Modelos!$E$2:$E$301,MATCH($B288,Modelos!$C$2:$C$301,0))&amp;"","")</f>
        <v/>
      </c>
      <c r="J288" s="7" t="str">
        <f>IFERROR(INDEX(Modelos!$F$2:$F$301,MATCH($B288,Modelos!$C$2:$C$301,0))&amp;"","")</f>
        <v/>
      </c>
      <c r="K288" s="7" t="str">
        <f>IFERROR(INDEX(Modelos!$G$2:$G$301,MATCH($B288,Modelos!$C$2:$C$301,0))&amp;"","")</f>
        <v/>
      </c>
      <c r="L288" s="7" t="str">
        <f>IFERROR(INDEX(Diccionarios!$G$2:$G$201,MATCH($C288,Diccionarios!$H$2:$H$201,0))&amp;"","")</f>
        <v/>
      </c>
      <c r="M288" s="7" t="str">
        <f>IF(D288="","",D288&amp;"")</f>
        <v/>
      </c>
      <c r="N288" s="8" t="str">
        <f>IF($B288="","",IFERROR(INDEX(Modelos!$H$2:$H$301,MATCH($B288,Modelos!$C$2:$C$301,0)),""))</f>
        <v/>
      </c>
      <c r="O288" s="8" t="str">
        <f>IF($B288="","",IFERROR(INDEX(Modelos!$I$2:$I$301,MATCH($B288,Modelos!$C$2:$C$301,0)),""))</f>
        <v/>
      </c>
      <c r="P288" s="8" t="str">
        <f>IF($B288="","",IFERROR(INDEX(Modelos!$J$2:$J$301,MATCH($B288,Modelos!$C$2:$C$301,0)),""))</f>
        <v/>
      </c>
      <c r="Q288" s="7" t="str">
        <f>IFERROR(INDEX(Diccionarios!$B$2:$B$201,MATCH($A288,Diccionarios!$D$2:$D$201,0))&amp;"","")</f>
        <v/>
      </c>
      <c r="R288" s="7" t="str">
        <f>IFERROR(INDEX(Diccionarios!$C$2:$C$201,MATCH($A288,Diccionarios!$D$2:$D$201,0))&amp;"","")</f>
        <v/>
      </c>
      <c r="S288" s="7" t="str">
        <f>IFERROR(INDEX(Modelos!$K$2:$K$301,MATCH($B288,Modelos!$C$2:$C$301,0))&amp;"","")</f>
        <v/>
      </c>
      <c r="T288" s="7" t="str">
        <f>IFERROR(INDEX(Modelos!$L$2:$L$301,MATCH($B288,Modelos!$C$2:$C$301,0))&amp;"","")</f>
        <v/>
      </c>
    </row>
    <row r="289" spans="1:20" x14ac:dyDescent="0.25">
      <c r="A289" s="5"/>
      <c r="B289" s="5"/>
      <c r="C289" s="5"/>
      <c r="D289" s="6"/>
      <c r="E289" s="5"/>
      <c r="F289" s="7" t="str">
        <f>IF(AND(A289&lt;&gt;"",B289&lt;&gt;"",C289&lt;&gt;"",D289&lt;&gt;""),LEFT(A289,2)&amp;LEFT(B289,4)&amp;LEFT(C289,2)&amp;SUBSTITUTE(UPPER(D289),"Ú","U"),"")</f>
        <v/>
      </c>
      <c r="G289" s="7" t="str">
        <f>IFERROR(INDEX(Modelos!$B$2:$B$301,MATCH($B289,Modelos!$C$2:$C$301,0))&amp;"","")</f>
        <v/>
      </c>
      <c r="H289" s="7" t="str">
        <f>IFERROR(INDEX(Modelos!$D$2:$D$301,MATCH($B289,Modelos!$C$2:$C$301,0))&amp;"","")</f>
        <v/>
      </c>
      <c r="I289" s="7" t="str">
        <f>IFERROR(INDEX(Modelos!$E$2:$E$301,MATCH($B289,Modelos!$C$2:$C$301,0))&amp;"","")</f>
        <v/>
      </c>
      <c r="J289" s="7" t="str">
        <f>IFERROR(INDEX(Modelos!$F$2:$F$301,MATCH($B289,Modelos!$C$2:$C$301,0))&amp;"","")</f>
        <v/>
      </c>
      <c r="K289" s="7" t="str">
        <f>IFERROR(INDEX(Modelos!$G$2:$G$301,MATCH($B289,Modelos!$C$2:$C$301,0))&amp;"","")</f>
        <v/>
      </c>
      <c r="L289" s="7" t="str">
        <f>IFERROR(INDEX(Diccionarios!$G$2:$G$201,MATCH($C289,Diccionarios!$H$2:$H$201,0))&amp;"","")</f>
        <v/>
      </c>
      <c r="M289" s="7" t="str">
        <f>IF(D289="","",D289&amp;"")</f>
        <v/>
      </c>
      <c r="N289" s="8" t="str">
        <f>IF($B289="","",IFERROR(INDEX(Modelos!$H$2:$H$301,MATCH($B289,Modelos!$C$2:$C$301,0)),""))</f>
        <v/>
      </c>
      <c r="O289" s="8" t="str">
        <f>IF($B289="","",IFERROR(INDEX(Modelos!$I$2:$I$301,MATCH($B289,Modelos!$C$2:$C$301,0)),""))</f>
        <v/>
      </c>
      <c r="P289" s="8" t="str">
        <f>IF($B289="","",IFERROR(INDEX(Modelos!$J$2:$J$301,MATCH($B289,Modelos!$C$2:$C$301,0)),""))</f>
        <v/>
      </c>
      <c r="Q289" s="7" t="str">
        <f>IFERROR(INDEX(Diccionarios!$B$2:$B$201,MATCH($A289,Diccionarios!$D$2:$D$201,0))&amp;"","")</f>
        <v/>
      </c>
      <c r="R289" s="7" t="str">
        <f>IFERROR(INDEX(Diccionarios!$C$2:$C$201,MATCH($A289,Diccionarios!$D$2:$D$201,0))&amp;"","")</f>
        <v/>
      </c>
      <c r="S289" s="7" t="str">
        <f>IFERROR(INDEX(Modelos!$K$2:$K$301,MATCH($B289,Modelos!$C$2:$C$301,0))&amp;"","")</f>
        <v/>
      </c>
      <c r="T289" s="7" t="str">
        <f>IFERROR(INDEX(Modelos!$L$2:$L$301,MATCH($B289,Modelos!$C$2:$C$301,0))&amp;"","")</f>
        <v/>
      </c>
    </row>
    <row r="290" spans="1:20" x14ac:dyDescent="0.25">
      <c r="A290" s="5"/>
      <c r="B290" s="5"/>
      <c r="C290" s="5"/>
      <c r="D290" s="6"/>
      <c r="E290" s="5"/>
      <c r="F290" s="7" t="str">
        <f>IF(AND(A290&lt;&gt;"",B290&lt;&gt;"",C290&lt;&gt;"",D290&lt;&gt;""),LEFT(A290,2)&amp;LEFT(B290,4)&amp;LEFT(C290,2)&amp;SUBSTITUTE(UPPER(D290),"Ú","U"),"")</f>
        <v/>
      </c>
      <c r="G290" s="7" t="str">
        <f>IFERROR(INDEX(Modelos!$B$2:$B$301,MATCH($B290,Modelos!$C$2:$C$301,0))&amp;"","")</f>
        <v/>
      </c>
      <c r="H290" s="7" t="str">
        <f>IFERROR(INDEX(Modelos!$D$2:$D$301,MATCH($B290,Modelos!$C$2:$C$301,0))&amp;"","")</f>
        <v/>
      </c>
      <c r="I290" s="7" t="str">
        <f>IFERROR(INDEX(Modelos!$E$2:$E$301,MATCH($B290,Modelos!$C$2:$C$301,0))&amp;"","")</f>
        <v/>
      </c>
      <c r="J290" s="7" t="str">
        <f>IFERROR(INDEX(Modelos!$F$2:$F$301,MATCH($B290,Modelos!$C$2:$C$301,0))&amp;"","")</f>
        <v/>
      </c>
      <c r="K290" s="7" t="str">
        <f>IFERROR(INDEX(Modelos!$G$2:$G$301,MATCH($B290,Modelos!$C$2:$C$301,0))&amp;"","")</f>
        <v/>
      </c>
      <c r="L290" s="7" t="str">
        <f>IFERROR(INDEX(Diccionarios!$G$2:$G$201,MATCH($C290,Diccionarios!$H$2:$H$201,0))&amp;"","")</f>
        <v/>
      </c>
      <c r="M290" s="7" t="str">
        <f>IF(D290="","",D290&amp;"")</f>
        <v/>
      </c>
      <c r="N290" s="8" t="str">
        <f>IF($B290="","",IFERROR(INDEX(Modelos!$H$2:$H$301,MATCH($B290,Modelos!$C$2:$C$301,0)),""))</f>
        <v/>
      </c>
      <c r="O290" s="8" t="str">
        <f>IF($B290="","",IFERROR(INDEX(Modelos!$I$2:$I$301,MATCH($B290,Modelos!$C$2:$C$301,0)),""))</f>
        <v/>
      </c>
      <c r="P290" s="8" t="str">
        <f>IF($B290="","",IFERROR(INDEX(Modelos!$J$2:$J$301,MATCH($B290,Modelos!$C$2:$C$301,0)),""))</f>
        <v/>
      </c>
      <c r="Q290" s="7" t="str">
        <f>IFERROR(INDEX(Diccionarios!$B$2:$B$201,MATCH($A290,Diccionarios!$D$2:$D$201,0))&amp;"","")</f>
        <v/>
      </c>
      <c r="R290" s="7" t="str">
        <f>IFERROR(INDEX(Diccionarios!$C$2:$C$201,MATCH($A290,Diccionarios!$D$2:$D$201,0))&amp;"","")</f>
        <v/>
      </c>
      <c r="S290" s="7" t="str">
        <f>IFERROR(INDEX(Modelos!$K$2:$K$301,MATCH($B290,Modelos!$C$2:$C$301,0))&amp;"","")</f>
        <v/>
      </c>
      <c r="T290" s="7" t="str">
        <f>IFERROR(INDEX(Modelos!$L$2:$L$301,MATCH($B290,Modelos!$C$2:$C$301,0))&amp;"","")</f>
        <v/>
      </c>
    </row>
    <row r="291" spans="1:20" x14ac:dyDescent="0.25">
      <c r="A291" s="5"/>
      <c r="B291" s="5"/>
      <c r="C291" s="5"/>
      <c r="D291" s="6"/>
      <c r="E291" s="5"/>
      <c r="F291" s="7" t="str">
        <f>IF(AND(A291&lt;&gt;"",B291&lt;&gt;"",C291&lt;&gt;"",D291&lt;&gt;""),LEFT(A291,2)&amp;LEFT(B291,4)&amp;LEFT(C291,2)&amp;SUBSTITUTE(UPPER(D291),"Ú","U"),"")</f>
        <v/>
      </c>
      <c r="G291" s="7" t="str">
        <f>IFERROR(INDEX(Modelos!$B$2:$B$301,MATCH($B291,Modelos!$C$2:$C$301,0))&amp;"","")</f>
        <v/>
      </c>
      <c r="H291" s="7" t="str">
        <f>IFERROR(INDEX(Modelos!$D$2:$D$301,MATCH($B291,Modelos!$C$2:$C$301,0))&amp;"","")</f>
        <v/>
      </c>
      <c r="I291" s="7" t="str">
        <f>IFERROR(INDEX(Modelos!$E$2:$E$301,MATCH($B291,Modelos!$C$2:$C$301,0))&amp;"","")</f>
        <v/>
      </c>
      <c r="J291" s="7" t="str">
        <f>IFERROR(INDEX(Modelos!$F$2:$F$301,MATCH($B291,Modelos!$C$2:$C$301,0))&amp;"","")</f>
        <v/>
      </c>
      <c r="K291" s="7" t="str">
        <f>IFERROR(INDEX(Modelos!$G$2:$G$301,MATCH($B291,Modelos!$C$2:$C$301,0))&amp;"","")</f>
        <v/>
      </c>
      <c r="L291" s="7" t="str">
        <f>IFERROR(INDEX(Diccionarios!$G$2:$G$201,MATCH($C291,Diccionarios!$H$2:$H$201,0))&amp;"","")</f>
        <v/>
      </c>
      <c r="M291" s="7" t="str">
        <f>IF(D291="","",D291&amp;"")</f>
        <v/>
      </c>
      <c r="N291" s="8" t="str">
        <f>IF($B291="","",IFERROR(INDEX(Modelos!$H$2:$H$301,MATCH($B291,Modelos!$C$2:$C$301,0)),""))</f>
        <v/>
      </c>
      <c r="O291" s="8" t="str">
        <f>IF($B291="","",IFERROR(INDEX(Modelos!$I$2:$I$301,MATCH($B291,Modelos!$C$2:$C$301,0)),""))</f>
        <v/>
      </c>
      <c r="P291" s="8" t="str">
        <f>IF($B291="","",IFERROR(INDEX(Modelos!$J$2:$J$301,MATCH($B291,Modelos!$C$2:$C$301,0)),""))</f>
        <v/>
      </c>
      <c r="Q291" s="7" t="str">
        <f>IFERROR(INDEX(Diccionarios!$B$2:$B$201,MATCH($A291,Diccionarios!$D$2:$D$201,0))&amp;"","")</f>
        <v/>
      </c>
      <c r="R291" s="7" t="str">
        <f>IFERROR(INDEX(Diccionarios!$C$2:$C$201,MATCH($A291,Diccionarios!$D$2:$D$201,0))&amp;"","")</f>
        <v/>
      </c>
      <c r="S291" s="7" t="str">
        <f>IFERROR(INDEX(Modelos!$K$2:$K$301,MATCH($B291,Modelos!$C$2:$C$301,0))&amp;"","")</f>
        <v/>
      </c>
      <c r="T291" s="7" t="str">
        <f>IFERROR(INDEX(Modelos!$L$2:$L$301,MATCH($B291,Modelos!$C$2:$C$301,0))&amp;"","")</f>
        <v/>
      </c>
    </row>
    <row r="292" spans="1:20" x14ac:dyDescent="0.25">
      <c r="A292" s="5"/>
      <c r="B292" s="5"/>
      <c r="C292" s="5"/>
      <c r="D292" s="6"/>
      <c r="E292" s="5"/>
      <c r="F292" s="7" t="str">
        <f>IF(AND(A292&lt;&gt;"",B292&lt;&gt;"",C292&lt;&gt;"",D292&lt;&gt;""),LEFT(A292,2)&amp;LEFT(B292,4)&amp;LEFT(C292,2)&amp;SUBSTITUTE(UPPER(D292),"Ú","U"),"")</f>
        <v/>
      </c>
      <c r="G292" s="7" t="str">
        <f>IFERROR(INDEX(Modelos!$B$2:$B$301,MATCH($B292,Modelos!$C$2:$C$301,0))&amp;"","")</f>
        <v/>
      </c>
      <c r="H292" s="7" t="str">
        <f>IFERROR(INDEX(Modelos!$D$2:$D$301,MATCH($B292,Modelos!$C$2:$C$301,0))&amp;"","")</f>
        <v/>
      </c>
      <c r="I292" s="7" t="str">
        <f>IFERROR(INDEX(Modelos!$E$2:$E$301,MATCH($B292,Modelos!$C$2:$C$301,0))&amp;"","")</f>
        <v/>
      </c>
      <c r="J292" s="7" t="str">
        <f>IFERROR(INDEX(Modelos!$F$2:$F$301,MATCH($B292,Modelos!$C$2:$C$301,0))&amp;"","")</f>
        <v/>
      </c>
      <c r="K292" s="7" t="str">
        <f>IFERROR(INDEX(Modelos!$G$2:$G$301,MATCH($B292,Modelos!$C$2:$C$301,0))&amp;"","")</f>
        <v/>
      </c>
      <c r="L292" s="7" t="str">
        <f>IFERROR(INDEX(Diccionarios!$G$2:$G$201,MATCH($C292,Diccionarios!$H$2:$H$201,0))&amp;"","")</f>
        <v/>
      </c>
      <c r="M292" s="7" t="str">
        <f>IF(D292="","",D292&amp;"")</f>
        <v/>
      </c>
      <c r="N292" s="8" t="str">
        <f>IF($B292="","",IFERROR(INDEX(Modelos!$H$2:$H$301,MATCH($B292,Modelos!$C$2:$C$301,0)),""))</f>
        <v/>
      </c>
      <c r="O292" s="8" t="str">
        <f>IF($B292="","",IFERROR(INDEX(Modelos!$I$2:$I$301,MATCH($B292,Modelos!$C$2:$C$301,0)),""))</f>
        <v/>
      </c>
      <c r="P292" s="8" t="str">
        <f>IF($B292="","",IFERROR(INDEX(Modelos!$J$2:$J$301,MATCH($B292,Modelos!$C$2:$C$301,0)),""))</f>
        <v/>
      </c>
      <c r="Q292" s="7" t="str">
        <f>IFERROR(INDEX(Diccionarios!$B$2:$B$201,MATCH($A292,Diccionarios!$D$2:$D$201,0))&amp;"","")</f>
        <v/>
      </c>
      <c r="R292" s="7" t="str">
        <f>IFERROR(INDEX(Diccionarios!$C$2:$C$201,MATCH($A292,Diccionarios!$D$2:$D$201,0))&amp;"","")</f>
        <v/>
      </c>
      <c r="S292" s="7" t="str">
        <f>IFERROR(INDEX(Modelos!$K$2:$K$301,MATCH($B292,Modelos!$C$2:$C$301,0))&amp;"","")</f>
        <v/>
      </c>
      <c r="T292" s="7" t="str">
        <f>IFERROR(INDEX(Modelos!$L$2:$L$301,MATCH($B292,Modelos!$C$2:$C$301,0))&amp;"","")</f>
        <v/>
      </c>
    </row>
    <row r="293" spans="1:20" x14ac:dyDescent="0.25">
      <c r="A293" s="5"/>
      <c r="B293" s="5"/>
      <c r="C293" s="5"/>
      <c r="D293" s="6"/>
      <c r="E293" s="5"/>
      <c r="F293" s="7" t="str">
        <f>IF(AND(A293&lt;&gt;"",B293&lt;&gt;"",C293&lt;&gt;"",D293&lt;&gt;""),LEFT(A293,2)&amp;LEFT(B293,4)&amp;LEFT(C293,2)&amp;SUBSTITUTE(UPPER(D293),"Ú","U"),"")</f>
        <v/>
      </c>
      <c r="G293" s="7" t="str">
        <f>IFERROR(INDEX(Modelos!$B$2:$B$301,MATCH($B293,Modelos!$C$2:$C$301,0))&amp;"","")</f>
        <v/>
      </c>
      <c r="H293" s="7" t="str">
        <f>IFERROR(INDEX(Modelos!$D$2:$D$301,MATCH($B293,Modelos!$C$2:$C$301,0))&amp;"","")</f>
        <v/>
      </c>
      <c r="I293" s="7" t="str">
        <f>IFERROR(INDEX(Modelos!$E$2:$E$301,MATCH($B293,Modelos!$C$2:$C$301,0))&amp;"","")</f>
        <v/>
      </c>
      <c r="J293" s="7" t="str">
        <f>IFERROR(INDEX(Modelos!$F$2:$F$301,MATCH($B293,Modelos!$C$2:$C$301,0))&amp;"","")</f>
        <v/>
      </c>
      <c r="K293" s="7" t="str">
        <f>IFERROR(INDEX(Modelos!$G$2:$G$301,MATCH($B293,Modelos!$C$2:$C$301,0))&amp;"","")</f>
        <v/>
      </c>
      <c r="L293" s="7" t="str">
        <f>IFERROR(INDEX(Diccionarios!$G$2:$G$201,MATCH($C293,Diccionarios!$H$2:$H$201,0))&amp;"","")</f>
        <v/>
      </c>
      <c r="M293" s="7" t="str">
        <f>IF(D293="","",D293&amp;"")</f>
        <v/>
      </c>
      <c r="N293" s="8" t="str">
        <f>IF($B293="","",IFERROR(INDEX(Modelos!$H$2:$H$301,MATCH($B293,Modelos!$C$2:$C$301,0)),""))</f>
        <v/>
      </c>
      <c r="O293" s="8" t="str">
        <f>IF($B293="","",IFERROR(INDEX(Modelos!$I$2:$I$301,MATCH($B293,Modelos!$C$2:$C$301,0)),""))</f>
        <v/>
      </c>
      <c r="P293" s="8" t="str">
        <f>IF($B293="","",IFERROR(INDEX(Modelos!$J$2:$J$301,MATCH($B293,Modelos!$C$2:$C$301,0)),""))</f>
        <v/>
      </c>
      <c r="Q293" s="7" t="str">
        <f>IFERROR(INDEX(Diccionarios!$B$2:$B$201,MATCH($A293,Diccionarios!$D$2:$D$201,0))&amp;"","")</f>
        <v/>
      </c>
      <c r="R293" s="7" t="str">
        <f>IFERROR(INDEX(Diccionarios!$C$2:$C$201,MATCH($A293,Diccionarios!$D$2:$D$201,0))&amp;"","")</f>
        <v/>
      </c>
      <c r="S293" s="7" t="str">
        <f>IFERROR(INDEX(Modelos!$K$2:$K$301,MATCH($B293,Modelos!$C$2:$C$301,0))&amp;"","")</f>
        <v/>
      </c>
      <c r="T293" s="7" t="str">
        <f>IFERROR(INDEX(Modelos!$L$2:$L$301,MATCH($B293,Modelos!$C$2:$C$301,0))&amp;"","")</f>
        <v/>
      </c>
    </row>
    <row r="294" spans="1:20" x14ac:dyDescent="0.25">
      <c r="A294" s="5"/>
      <c r="B294" s="5"/>
      <c r="C294" s="5"/>
      <c r="D294" s="6"/>
      <c r="E294" s="5"/>
      <c r="F294" s="7" t="str">
        <f>IF(AND(A294&lt;&gt;"",B294&lt;&gt;"",C294&lt;&gt;"",D294&lt;&gt;""),LEFT(A294,2)&amp;LEFT(B294,4)&amp;LEFT(C294,2)&amp;SUBSTITUTE(UPPER(D294),"Ú","U"),"")</f>
        <v/>
      </c>
      <c r="G294" s="7" t="str">
        <f>IFERROR(INDEX(Modelos!$B$2:$B$301,MATCH($B294,Modelos!$C$2:$C$301,0))&amp;"","")</f>
        <v/>
      </c>
      <c r="H294" s="7" t="str">
        <f>IFERROR(INDEX(Modelos!$D$2:$D$301,MATCH($B294,Modelos!$C$2:$C$301,0))&amp;"","")</f>
        <v/>
      </c>
      <c r="I294" s="7" t="str">
        <f>IFERROR(INDEX(Modelos!$E$2:$E$301,MATCH($B294,Modelos!$C$2:$C$301,0))&amp;"","")</f>
        <v/>
      </c>
      <c r="J294" s="7" t="str">
        <f>IFERROR(INDEX(Modelos!$F$2:$F$301,MATCH($B294,Modelos!$C$2:$C$301,0))&amp;"","")</f>
        <v/>
      </c>
      <c r="K294" s="7" t="str">
        <f>IFERROR(INDEX(Modelos!$G$2:$G$301,MATCH($B294,Modelos!$C$2:$C$301,0))&amp;"","")</f>
        <v/>
      </c>
      <c r="L294" s="7" t="str">
        <f>IFERROR(INDEX(Diccionarios!$G$2:$G$201,MATCH($C294,Diccionarios!$H$2:$H$201,0))&amp;"","")</f>
        <v/>
      </c>
      <c r="M294" s="7" t="str">
        <f>IF(D294="","",D294&amp;"")</f>
        <v/>
      </c>
      <c r="N294" s="8" t="str">
        <f>IF($B294="","",IFERROR(INDEX(Modelos!$H$2:$H$301,MATCH($B294,Modelos!$C$2:$C$301,0)),""))</f>
        <v/>
      </c>
      <c r="O294" s="8" t="str">
        <f>IF($B294="","",IFERROR(INDEX(Modelos!$I$2:$I$301,MATCH($B294,Modelos!$C$2:$C$301,0)),""))</f>
        <v/>
      </c>
      <c r="P294" s="8" t="str">
        <f>IF($B294="","",IFERROR(INDEX(Modelos!$J$2:$J$301,MATCH($B294,Modelos!$C$2:$C$301,0)),""))</f>
        <v/>
      </c>
      <c r="Q294" s="7" t="str">
        <f>IFERROR(INDEX(Diccionarios!$B$2:$B$201,MATCH($A294,Diccionarios!$D$2:$D$201,0))&amp;"","")</f>
        <v/>
      </c>
      <c r="R294" s="7" t="str">
        <f>IFERROR(INDEX(Diccionarios!$C$2:$C$201,MATCH($A294,Diccionarios!$D$2:$D$201,0))&amp;"","")</f>
        <v/>
      </c>
      <c r="S294" s="7" t="str">
        <f>IFERROR(INDEX(Modelos!$K$2:$K$301,MATCH($B294,Modelos!$C$2:$C$301,0))&amp;"","")</f>
        <v/>
      </c>
      <c r="T294" s="7" t="str">
        <f>IFERROR(INDEX(Modelos!$L$2:$L$301,MATCH($B294,Modelos!$C$2:$C$301,0))&amp;"","")</f>
        <v/>
      </c>
    </row>
    <row r="295" spans="1:20" x14ac:dyDescent="0.25">
      <c r="A295" s="5"/>
      <c r="B295" s="5"/>
      <c r="C295" s="5"/>
      <c r="D295" s="6"/>
      <c r="E295" s="5"/>
      <c r="F295" s="7" t="str">
        <f>IF(AND(A295&lt;&gt;"",B295&lt;&gt;"",C295&lt;&gt;"",D295&lt;&gt;""),LEFT(A295,2)&amp;LEFT(B295,4)&amp;LEFT(C295,2)&amp;SUBSTITUTE(UPPER(D295),"Ú","U"),"")</f>
        <v/>
      </c>
      <c r="G295" s="7" t="str">
        <f>IFERROR(INDEX(Modelos!$B$2:$B$301,MATCH($B295,Modelos!$C$2:$C$301,0))&amp;"","")</f>
        <v/>
      </c>
      <c r="H295" s="7" t="str">
        <f>IFERROR(INDEX(Modelos!$D$2:$D$301,MATCH($B295,Modelos!$C$2:$C$301,0))&amp;"","")</f>
        <v/>
      </c>
      <c r="I295" s="7" t="str">
        <f>IFERROR(INDEX(Modelos!$E$2:$E$301,MATCH($B295,Modelos!$C$2:$C$301,0))&amp;"","")</f>
        <v/>
      </c>
      <c r="J295" s="7" t="str">
        <f>IFERROR(INDEX(Modelos!$F$2:$F$301,MATCH($B295,Modelos!$C$2:$C$301,0))&amp;"","")</f>
        <v/>
      </c>
      <c r="K295" s="7" t="str">
        <f>IFERROR(INDEX(Modelos!$G$2:$G$301,MATCH($B295,Modelos!$C$2:$C$301,0))&amp;"","")</f>
        <v/>
      </c>
      <c r="L295" s="7" t="str">
        <f>IFERROR(INDEX(Diccionarios!$G$2:$G$201,MATCH($C295,Diccionarios!$H$2:$H$201,0))&amp;"","")</f>
        <v/>
      </c>
      <c r="M295" s="7" t="str">
        <f>IF(D295="","",D295&amp;"")</f>
        <v/>
      </c>
      <c r="N295" s="8" t="str">
        <f>IF($B295="","",IFERROR(INDEX(Modelos!$H$2:$H$301,MATCH($B295,Modelos!$C$2:$C$301,0)),""))</f>
        <v/>
      </c>
      <c r="O295" s="8" t="str">
        <f>IF($B295="","",IFERROR(INDEX(Modelos!$I$2:$I$301,MATCH($B295,Modelos!$C$2:$C$301,0)),""))</f>
        <v/>
      </c>
      <c r="P295" s="8" t="str">
        <f>IF($B295="","",IFERROR(INDEX(Modelos!$J$2:$J$301,MATCH($B295,Modelos!$C$2:$C$301,0)),""))</f>
        <v/>
      </c>
      <c r="Q295" s="7" t="str">
        <f>IFERROR(INDEX(Diccionarios!$B$2:$B$201,MATCH($A295,Diccionarios!$D$2:$D$201,0))&amp;"","")</f>
        <v/>
      </c>
      <c r="R295" s="7" t="str">
        <f>IFERROR(INDEX(Diccionarios!$C$2:$C$201,MATCH($A295,Diccionarios!$D$2:$D$201,0))&amp;"","")</f>
        <v/>
      </c>
      <c r="S295" s="7" t="str">
        <f>IFERROR(INDEX(Modelos!$K$2:$K$301,MATCH($B295,Modelos!$C$2:$C$301,0))&amp;"","")</f>
        <v/>
      </c>
      <c r="T295" s="7" t="str">
        <f>IFERROR(INDEX(Modelos!$L$2:$L$301,MATCH($B295,Modelos!$C$2:$C$301,0))&amp;"","")</f>
        <v/>
      </c>
    </row>
    <row r="296" spans="1:20" x14ac:dyDescent="0.25">
      <c r="A296" s="5"/>
      <c r="B296" s="5"/>
      <c r="C296" s="5"/>
      <c r="D296" s="6"/>
      <c r="E296" s="5"/>
      <c r="F296" s="7" t="str">
        <f>IF(AND(A296&lt;&gt;"",B296&lt;&gt;"",C296&lt;&gt;"",D296&lt;&gt;""),LEFT(A296,2)&amp;LEFT(B296,4)&amp;LEFT(C296,2)&amp;SUBSTITUTE(UPPER(D296),"Ú","U"),"")</f>
        <v/>
      </c>
      <c r="G296" s="7" t="str">
        <f>IFERROR(INDEX(Modelos!$B$2:$B$301,MATCH($B296,Modelos!$C$2:$C$301,0))&amp;"","")</f>
        <v/>
      </c>
      <c r="H296" s="7" t="str">
        <f>IFERROR(INDEX(Modelos!$D$2:$D$301,MATCH($B296,Modelos!$C$2:$C$301,0))&amp;"","")</f>
        <v/>
      </c>
      <c r="I296" s="7" t="str">
        <f>IFERROR(INDEX(Modelos!$E$2:$E$301,MATCH($B296,Modelos!$C$2:$C$301,0))&amp;"","")</f>
        <v/>
      </c>
      <c r="J296" s="7" t="str">
        <f>IFERROR(INDEX(Modelos!$F$2:$F$301,MATCH($B296,Modelos!$C$2:$C$301,0))&amp;"","")</f>
        <v/>
      </c>
      <c r="K296" s="7" t="str">
        <f>IFERROR(INDEX(Modelos!$G$2:$G$301,MATCH($B296,Modelos!$C$2:$C$301,0))&amp;"","")</f>
        <v/>
      </c>
      <c r="L296" s="7" t="str">
        <f>IFERROR(INDEX(Diccionarios!$G$2:$G$201,MATCH($C296,Diccionarios!$H$2:$H$201,0))&amp;"","")</f>
        <v/>
      </c>
      <c r="M296" s="7" t="str">
        <f>IF(D296="","",D296&amp;"")</f>
        <v/>
      </c>
      <c r="N296" s="8" t="str">
        <f>IF($B296="","",IFERROR(INDEX(Modelos!$H$2:$H$301,MATCH($B296,Modelos!$C$2:$C$301,0)),""))</f>
        <v/>
      </c>
      <c r="O296" s="8" t="str">
        <f>IF($B296="","",IFERROR(INDEX(Modelos!$I$2:$I$301,MATCH($B296,Modelos!$C$2:$C$301,0)),""))</f>
        <v/>
      </c>
      <c r="P296" s="8" t="str">
        <f>IF($B296="","",IFERROR(INDEX(Modelos!$J$2:$J$301,MATCH($B296,Modelos!$C$2:$C$301,0)),""))</f>
        <v/>
      </c>
      <c r="Q296" s="7" t="str">
        <f>IFERROR(INDEX(Diccionarios!$B$2:$B$201,MATCH($A296,Diccionarios!$D$2:$D$201,0))&amp;"","")</f>
        <v/>
      </c>
      <c r="R296" s="7" t="str">
        <f>IFERROR(INDEX(Diccionarios!$C$2:$C$201,MATCH($A296,Diccionarios!$D$2:$D$201,0))&amp;"","")</f>
        <v/>
      </c>
      <c r="S296" s="7" t="str">
        <f>IFERROR(INDEX(Modelos!$K$2:$K$301,MATCH($B296,Modelos!$C$2:$C$301,0))&amp;"","")</f>
        <v/>
      </c>
      <c r="T296" s="7" t="str">
        <f>IFERROR(INDEX(Modelos!$L$2:$L$301,MATCH($B296,Modelos!$C$2:$C$301,0))&amp;"","")</f>
        <v/>
      </c>
    </row>
    <row r="297" spans="1:20" x14ac:dyDescent="0.25">
      <c r="A297" s="5"/>
      <c r="B297" s="5"/>
      <c r="C297" s="5"/>
      <c r="D297" s="6"/>
      <c r="E297" s="5"/>
      <c r="F297" s="7" t="str">
        <f>IF(AND(A297&lt;&gt;"",B297&lt;&gt;"",C297&lt;&gt;"",D297&lt;&gt;""),LEFT(A297,2)&amp;LEFT(B297,4)&amp;LEFT(C297,2)&amp;SUBSTITUTE(UPPER(D297),"Ú","U"),"")</f>
        <v/>
      </c>
      <c r="G297" s="7" t="str">
        <f>IFERROR(INDEX(Modelos!$B$2:$B$301,MATCH($B297,Modelos!$C$2:$C$301,0))&amp;"","")</f>
        <v/>
      </c>
      <c r="H297" s="7" t="str">
        <f>IFERROR(INDEX(Modelos!$D$2:$D$301,MATCH($B297,Modelos!$C$2:$C$301,0))&amp;"","")</f>
        <v/>
      </c>
      <c r="I297" s="7" t="str">
        <f>IFERROR(INDEX(Modelos!$E$2:$E$301,MATCH($B297,Modelos!$C$2:$C$301,0))&amp;"","")</f>
        <v/>
      </c>
      <c r="J297" s="7" t="str">
        <f>IFERROR(INDEX(Modelos!$F$2:$F$301,MATCH($B297,Modelos!$C$2:$C$301,0))&amp;"","")</f>
        <v/>
      </c>
      <c r="K297" s="7" t="str">
        <f>IFERROR(INDEX(Modelos!$G$2:$G$301,MATCH($B297,Modelos!$C$2:$C$301,0))&amp;"","")</f>
        <v/>
      </c>
      <c r="L297" s="7" t="str">
        <f>IFERROR(INDEX(Diccionarios!$G$2:$G$201,MATCH($C297,Diccionarios!$H$2:$H$201,0))&amp;"","")</f>
        <v/>
      </c>
      <c r="M297" s="7" t="str">
        <f>IF(D297="","",D297&amp;"")</f>
        <v/>
      </c>
      <c r="N297" s="8" t="str">
        <f>IF($B297="","",IFERROR(INDEX(Modelos!$H$2:$H$301,MATCH($B297,Modelos!$C$2:$C$301,0)),""))</f>
        <v/>
      </c>
      <c r="O297" s="8" t="str">
        <f>IF($B297="","",IFERROR(INDEX(Modelos!$I$2:$I$301,MATCH($B297,Modelos!$C$2:$C$301,0)),""))</f>
        <v/>
      </c>
      <c r="P297" s="8" t="str">
        <f>IF($B297="","",IFERROR(INDEX(Modelos!$J$2:$J$301,MATCH($B297,Modelos!$C$2:$C$301,0)),""))</f>
        <v/>
      </c>
      <c r="Q297" s="7" t="str">
        <f>IFERROR(INDEX(Diccionarios!$B$2:$B$201,MATCH($A297,Diccionarios!$D$2:$D$201,0))&amp;"","")</f>
        <v/>
      </c>
      <c r="R297" s="7" t="str">
        <f>IFERROR(INDEX(Diccionarios!$C$2:$C$201,MATCH($A297,Diccionarios!$D$2:$D$201,0))&amp;"","")</f>
        <v/>
      </c>
      <c r="S297" s="7" t="str">
        <f>IFERROR(INDEX(Modelos!$K$2:$K$301,MATCH($B297,Modelos!$C$2:$C$301,0))&amp;"","")</f>
        <v/>
      </c>
      <c r="T297" s="7" t="str">
        <f>IFERROR(INDEX(Modelos!$L$2:$L$301,MATCH($B297,Modelos!$C$2:$C$301,0))&amp;"","")</f>
        <v/>
      </c>
    </row>
    <row r="298" spans="1:20" x14ac:dyDescent="0.25">
      <c r="A298" s="5"/>
      <c r="B298" s="5"/>
      <c r="C298" s="5"/>
      <c r="D298" s="6"/>
      <c r="E298" s="5"/>
      <c r="F298" s="7" t="str">
        <f>IF(AND(A298&lt;&gt;"",B298&lt;&gt;"",C298&lt;&gt;"",D298&lt;&gt;""),LEFT(A298,2)&amp;LEFT(B298,4)&amp;LEFT(C298,2)&amp;SUBSTITUTE(UPPER(D298),"Ú","U"),"")</f>
        <v/>
      </c>
      <c r="G298" s="7" t="str">
        <f>IFERROR(INDEX(Modelos!$B$2:$B$301,MATCH($B298,Modelos!$C$2:$C$301,0))&amp;"","")</f>
        <v/>
      </c>
      <c r="H298" s="7" t="str">
        <f>IFERROR(INDEX(Modelos!$D$2:$D$301,MATCH($B298,Modelos!$C$2:$C$301,0))&amp;"","")</f>
        <v/>
      </c>
      <c r="I298" s="7" t="str">
        <f>IFERROR(INDEX(Modelos!$E$2:$E$301,MATCH($B298,Modelos!$C$2:$C$301,0))&amp;"","")</f>
        <v/>
      </c>
      <c r="J298" s="7" t="str">
        <f>IFERROR(INDEX(Modelos!$F$2:$F$301,MATCH($B298,Modelos!$C$2:$C$301,0))&amp;"","")</f>
        <v/>
      </c>
      <c r="K298" s="7" t="str">
        <f>IFERROR(INDEX(Modelos!$G$2:$G$301,MATCH($B298,Modelos!$C$2:$C$301,0))&amp;"","")</f>
        <v/>
      </c>
      <c r="L298" s="7" t="str">
        <f>IFERROR(INDEX(Diccionarios!$G$2:$G$201,MATCH($C298,Diccionarios!$H$2:$H$201,0))&amp;"","")</f>
        <v/>
      </c>
      <c r="M298" s="7" t="str">
        <f>IF(D298="","",D298&amp;"")</f>
        <v/>
      </c>
      <c r="N298" s="8" t="str">
        <f>IF($B298="","",IFERROR(INDEX(Modelos!$H$2:$H$301,MATCH($B298,Modelos!$C$2:$C$301,0)),""))</f>
        <v/>
      </c>
      <c r="O298" s="8" t="str">
        <f>IF($B298="","",IFERROR(INDEX(Modelos!$I$2:$I$301,MATCH($B298,Modelos!$C$2:$C$301,0)),""))</f>
        <v/>
      </c>
      <c r="P298" s="8" t="str">
        <f>IF($B298="","",IFERROR(INDEX(Modelos!$J$2:$J$301,MATCH($B298,Modelos!$C$2:$C$301,0)),""))</f>
        <v/>
      </c>
      <c r="Q298" s="7" t="str">
        <f>IFERROR(INDEX(Diccionarios!$B$2:$B$201,MATCH($A298,Diccionarios!$D$2:$D$201,0))&amp;"","")</f>
        <v/>
      </c>
      <c r="R298" s="7" t="str">
        <f>IFERROR(INDEX(Diccionarios!$C$2:$C$201,MATCH($A298,Diccionarios!$D$2:$D$201,0))&amp;"","")</f>
        <v/>
      </c>
      <c r="S298" s="7" t="str">
        <f>IFERROR(INDEX(Modelos!$K$2:$K$301,MATCH($B298,Modelos!$C$2:$C$301,0))&amp;"","")</f>
        <v/>
      </c>
      <c r="T298" s="7" t="str">
        <f>IFERROR(INDEX(Modelos!$L$2:$L$301,MATCH($B298,Modelos!$C$2:$C$301,0))&amp;"","")</f>
        <v/>
      </c>
    </row>
    <row r="299" spans="1:20" x14ac:dyDescent="0.25">
      <c r="A299" s="5"/>
      <c r="B299" s="5"/>
      <c r="C299" s="5"/>
      <c r="D299" s="6"/>
      <c r="E299" s="5"/>
      <c r="F299" s="7" t="str">
        <f>IF(AND(A299&lt;&gt;"",B299&lt;&gt;"",C299&lt;&gt;"",D299&lt;&gt;""),LEFT(A299,2)&amp;LEFT(B299,4)&amp;LEFT(C299,2)&amp;SUBSTITUTE(UPPER(D299),"Ú","U"),"")</f>
        <v/>
      </c>
      <c r="G299" s="7" t="str">
        <f>IFERROR(INDEX(Modelos!$B$2:$B$301,MATCH($B299,Modelos!$C$2:$C$301,0))&amp;"","")</f>
        <v/>
      </c>
      <c r="H299" s="7" t="str">
        <f>IFERROR(INDEX(Modelos!$D$2:$D$301,MATCH($B299,Modelos!$C$2:$C$301,0))&amp;"","")</f>
        <v/>
      </c>
      <c r="I299" s="7" t="str">
        <f>IFERROR(INDEX(Modelos!$E$2:$E$301,MATCH($B299,Modelos!$C$2:$C$301,0))&amp;"","")</f>
        <v/>
      </c>
      <c r="J299" s="7" t="str">
        <f>IFERROR(INDEX(Modelos!$F$2:$F$301,MATCH($B299,Modelos!$C$2:$C$301,0))&amp;"","")</f>
        <v/>
      </c>
      <c r="K299" s="7" t="str">
        <f>IFERROR(INDEX(Modelos!$G$2:$G$301,MATCH($B299,Modelos!$C$2:$C$301,0))&amp;"","")</f>
        <v/>
      </c>
      <c r="L299" s="7" t="str">
        <f>IFERROR(INDEX(Diccionarios!$G$2:$G$201,MATCH($C299,Diccionarios!$H$2:$H$201,0))&amp;"","")</f>
        <v/>
      </c>
      <c r="M299" s="7" t="str">
        <f>IF(D299="","",D299&amp;"")</f>
        <v/>
      </c>
      <c r="N299" s="8" t="str">
        <f>IF($B299="","",IFERROR(INDEX(Modelos!$H$2:$H$301,MATCH($B299,Modelos!$C$2:$C$301,0)),""))</f>
        <v/>
      </c>
      <c r="O299" s="8" t="str">
        <f>IF($B299="","",IFERROR(INDEX(Modelos!$I$2:$I$301,MATCH($B299,Modelos!$C$2:$C$301,0)),""))</f>
        <v/>
      </c>
      <c r="P299" s="8" t="str">
        <f>IF($B299="","",IFERROR(INDEX(Modelos!$J$2:$J$301,MATCH($B299,Modelos!$C$2:$C$301,0)),""))</f>
        <v/>
      </c>
      <c r="Q299" s="7" t="str">
        <f>IFERROR(INDEX(Diccionarios!$B$2:$B$201,MATCH($A299,Diccionarios!$D$2:$D$201,0))&amp;"","")</f>
        <v/>
      </c>
      <c r="R299" s="7" t="str">
        <f>IFERROR(INDEX(Diccionarios!$C$2:$C$201,MATCH($A299,Diccionarios!$D$2:$D$201,0))&amp;"","")</f>
        <v/>
      </c>
      <c r="S299" s="7" t="str">
        <f>IFERROR(INDEX(Modelos!$K$2:$K$301,MATCH($B299,Modelos!$C$2:$C$301,0))&amp;"","")</f>
        <v/>
      </c>
      <c r="T299" s="7" t="str">
        <f>IFERROR(INDEX(Modelos!$L$2:$L$301,MATCH($B299,Modelos!$C$2:$C$301,0))&amp;"","")</f>
        <v/>
      </c>
    </row>
    <row r="300" spans="1:20" x14ac:dyDescent="0.25">
      <c r="A300" s="5"/>
      <c r="B300" s="5"/>
      <c r="C300" s="5"/>
      <c r="D300" s="6"/>
      <c r="E300" s="5"/>
      <c r="F300" s="7" t="str">
        <f>IF(AND(A300&lt;&gt;"",B300&lt;&gt;"",C300&lt;&gt;"",D300&lt;&gt;""),LEFT(A300,2)&amp;LEFT(B300,4)&amp;LEFT(C300,2)&amp;SUBSTITUTE(UPPER(D300),"Ú","U"),"")</f>
        <v/>
      </c>
      <c r="G300" s="7" t="str">
        <f>IFERROR(INDEX(Modelos!$B$2:$B$301,MATCH($B300,Modelos!$C$2:$C$301,0))&amp;"","")</f>
        <v/>
      </c>
      <c r="H300" s="7" t="str">
        <f>IFERROR(INDEX(Modelos!$D$2:$D$301,MATCH($B300,Modelos!$C$2:$C$301,0))&amp;"","")</f>
        <v/>
      </c>
      <c r="I300" s="7" t="str">
        <f>IFERROR(INDEX(Modelos!$E$2:$E$301,MATCH($B300,Modelos!$C$2:$C$301,0))&amp;"","")</f>
        <v/>
      </c>
      <c r="J300" s="7" t="str">
        <f>IFERROR(INDEX(Modelos!$F$2:$F$301,MATCH($B300,Modelos!$C$2:$C$301,0))&amp;"","")</f>
        <v/>
      </c>
      <c r="K300" s="7" t="str">
        <f>IFERROR(INDEX(Modelos!$G$2:$G$301,MATCH($B300,Modelos!$C$2:$C$301,0))&amp;"","")</f>
        <v/>
      </c>
      <c r="L300" s="7" t="str">
        <f>IFERROR(INDEX(Diccionarios!$G$2:$G$201,MATCH($C300,Diccionarios!$H$2:$H$201,0))&amp;"","")</f>
        <v/>
      </c>
      <c r="M300" s="7" t="str">
        <f>IF(D300="","",D300&amp;"")</f>
        <v/>
      </c>
      <c r="N300" s="8" t="str">
        <f>IF($B300="","",IFERROR(INDEX(Modelos!$H$2:$H$301,MATCH($B300,Modelos!$C$2:$C$301,0)),""))</f>
        <v/>
      </c>
      <c r="O300" s="8" t="str">
        <f>IF($B300="","",IFERROR(INDEX(Modelos!$I$2:$I$301,MATCH($B300,Modelos!$C$2:$C$301,0)),""))</f>
        <v/>
      </c>
      <c r="P300" s="8" t="str">
        <f>IF($B300="","",IFERROR(INDEX(Modelos!$J$2:$J$301,MATCH($B300,Modelos!$C$2:$C$301,0)),""))</f>
        <v/>
      </c>
      <c r="Q300" s="7" t="str">
        <f>IFERROR(INDEX(Diccionarios!$B$2:$B$201,MATCH($A300,Diccionarios!$D$2:$D$201,0))&amp;"","")</f>
        <v/>
      </c>
      <c r="R300" s="7" t="str">
        <f>IFERROR(INDEX(Diccionarios!$C$2:$C$201,MATCH($A300,Diccionarios!$D$2:$D$201,0))&amp;"","")</f>
        <v/>
      </c>
      <c r="S300" s="7" t="str">
        <f>IFERROR(INDEX(Modelos!$K$2:$K$301,MATCH($B300,Modelos!$C$2:$C$301,0))&amp;"","")</f>
        <v/>
      </c>
      <c r="T300" s="7" t="str">
        <f>IFERROR(INDEX(Modelos!$L$2:$L$301,MATCH($B300,Modelos!$C$2:$C$301,0))&amp;"","")</f>
        <v/>
      </c>
    </row>
    <row r="301" spans="1:20" x14ac:dyDescent="0.25">
      <c r="A301" s="5"/>
      <c r="B301" s="5"/>
      <c r="C301" s="5"/>
      <c r="D301" s="6"/>
      <c r="E301" s="5"/>
      <c r="F301" s="7" t="str">
        <f>IF(AND(A301&lt;&gt;"",B301&lt;&gt;"",C301&lt;&gt;"",D301&lt;&gt;""),LEFT(A301,2)&amp;LEFT(B301,4)&amp;LEFT(C301,2)&amp;SUBSTITUTE(UPPER(D301),"Ú","U"),"")</f>
        <v/>
      </c>
      <c r="G301" s="7" t="str">
        <f>IFERROR(INDEX(Modelos!$B$2:$B$301,MATCH($B301,Modelos!$C$2:$C$301,0))&amp;"","")</f>
        <v/>
      </c>
      <c r="H301" s="7" t="str">
        <f>IFERROR(INDEX(Modelos!$D$2:$D$301,MATCH($B301,Modelos!$C$2:$C$301,0))&amp;"","")</f>
        <v/>
      </c>
      <c r="I301" s="7" t="str">
        <f>IFERROR(INDEX(Modelos!$E$2:$E$301,MATCH($B301,Modelos!$C$2:$C$301,0))&amp;"","")</f>
        <v/>
      </c>
      <c r="J301" s="7" t="str">
        <f>IFERROR(INDEX(Modelos!$F$2:$F$301,MATCH($B301,Modelos!$C$2:$C$301,0))&amp;"","")</f>
        <v/>
      </c>
      <c r="K301" s="7" t="str">
        <f>IFERROR(INDEX(Modelos!$G$2:$G$301,MATCH($B301,Modelos!$C$2:$C$301,0))&amp;"","")</f>
        <v/>
      </c>
      <c r="L301" s="7" t="str">
        <f>IFERROR(INDEX(Diccionarios!$G$2:$G$201,MATCH($C301,Diccionarios!$H$2:$H$201,0))&amp;"","")</f>
        <v/>
      </c>
      <c r="M301" s="7" t="str">
        <f>IF(D301="","",D301&amp;"")</f>
        <v/>
      </c>
      <c r="N301" s="8" t="str">
        <f>IF($B301="","",IFERROR(INDEX(Modelos!$H$2:$H$301,MATCH($B301,Modelos!$C$2:$C$301,0)),""))</f>
        <v/>
      </c>
      <c r="O301" s="8" t="str">
        <f>IF($B301="","",IFERROR(INDEX(Modelos!$I$2:$I$301,MATCH($B301,Modelos!$C$2:$C$301,0)),""))</f>
        <v/>
      </c>
      <c r="P301" s="8" t="str">
        <f>IF($B301="","",IFERROR(INDEX(Modelos!$J$2:$J$301,MATCH($B301,Modelos!$C$2:$C$301,0)),""))</f>
        <v/>
      </c>
      <c r="Q301" s="7" t="str">
        <f>IFERROR(INDEX(Diccionarios!$B$2:$B$201,MATCH($A301,Diccionarios!$D$2:$D$201,0))&amp;"","")</f>
        <v/>
      </c>
      <c r="R301" s="7" t="str">
        <f>IFERROR(INDEX(Diccionarios!$C$2:$C$201,MATCH($A301,Diccionarios!$D$2:$D$201,0))&amp;"","")</f>
        <v/>
      </c>
      <c r="S301" s="7" t="str">
        <f>IFERROR(INDEX(Modelos!$K$2:$K$301,MATCH($B301,Modelos!$C$2:$C$301,0))&amp;"","")</f>
        <v/>
      </c>
      <c r="T301" s="7" t="str">
        <f>IFERROR(INDEX(Modelos!$L$2:$L$301,MATCH($B301,Modelos!$C$2:$C$301,0))&amp;"","")</f>
        <v/>
      </c>
    </row>
    <row r="302" spans="1:20" x14ac:dyDescent="0.25">
      <c r="A302" s="5"/>
      <c r="B302" s="5"/>
      <c r="C302" s="5"/>
      <c r="D302" s="6"/>
      <c r="E302" s="5"/>
      <c r="F302" s="7" t="str">
        <f>IF(AND(A302&lt;&gt;"",B302&lt;&gt;"",C302&lt;&gt;"",D302&lt;&gt;""),LEFT(A302,2)&amp;LEFT(B302,4)&amp;LEFT(C302,2)&amp;SUBSTITUTE(UPPER(D302),"Ú","U"),"")</f>
        <v/>
      </c>
      <c r="G302" s="7" t="str">
        <f>IFERROR(INDEX(Modelos!$B$2:$B$301,MATCH($B302,Modelos!$C$2:$C$301,0))&amp;"","")</f>
        <v/>
      </c>
      <c r="H302" s="7" t="str">
        <f>IFERROR(INDEX(Modelos!$D$2:$D$301,MATCH($B302,Modelos!$C$2:$C$301,0))&amp;"","")</f>
        <v/>
      </c>
      <c r="I302" s="7" t="str">
        <f>IFERROR(INDEX(Modelos!$E$2:$E$301,MATCH($B302,Modelos!$C$2:$C$301,0))&amp;"","")</f>
        <v/>
      </c>
      <c r="J302" s="7" t="str">
        <f>IFERROR(INDEX(Modelos!$F$2:$F$301,MATCH($B302,Modelos!$C$2:$C$301,0))&amp;"","")</f>
        <v/>
      </c>
      <c r="K302" s="7" t="str">
        <f>IFERROR(INDEX(Modelos!$G$2:$G$301,MATCH($B302,Modelos!$C$2:$C$301,0))&amp;"","")</f>
        <v/>
      </c>
      <c r="L302" s="7" t="str">
        <f>IFERROR(INDEX(Diccionarios!$G$2:$G$201,MATCH($C302,Diccionarios!$H$2:$H$201,0))&amp;"","")</f>
        <v/>
      </c>
      <c r="M302" s="7" t="str">
        <f>IF(D302="","",D302&amp;"")</f>
        <v/>
      </c>
      <c r="N302" s="8" t="str">
        <f>IF($B302="","",IFERROR(INDEX(Modelos!$H$2:$H$301,MATCH($B302,Modelos!$C$2:$C$301,0)),""))</f>
        <v/>
      </c>
      <c r="O302" s="8" t="str">
        <f>IF($B302="","",IFERROR(INDEX(Modelos!$I$2:$I$301,MATCH($B302,Modelos!$C$2:$C$301,0)),""))</f>
        <v/>
      </c>
      <c r="P302" s="8" t="str">
        <f>IF($B302="","",IFERROR(INDEX(Modelos!$J$2:$J$301,MATCH($B302,Modelos!$C$2:$C$301,0)),""))</f>
        <v/>
      </c>
      <c r="Q302" s="7" t="str">
        <f>IFERROR(INDEX(Diccionarios!$B$2:$B$201,MATCH($A302,Diccionarios!$D$2:$D$201,0))&amp;"","")</f>
        <v/>
      </c>
      <c r="R302" s="7" t="str">
        <f>IFERROR(INDEX(Diccionarios!$C$2:$C$201,MATCH($A302,Diccionarios!$D$2:$D$201,0))&amp;"","")</f>
        <v/>
      </c>
      <c r="S302" s="7" t="str">
        <f>IFERROR(INDEX(Modelos!$K$2:$K$301,MATCH($B302,Modelos!$C$2:$C$301,0))&amp;"","")</f>
        <v/>
      </c>
      <c r="T302" s="7" t="str">
        <f>IFERROR(INDEX(Modelos!$L$2:$L$301,MATCH($B302,Modelos!$C$2:$C$301,0))&amp;"","")</f>
        <v/>
      </c>
    </row>
    <row r="303" spans="1:20" x14ac:dyDescent="0.25">
      <c r="A303" s="5"/>
      <c r="B303" s="5"/>
      <c r="C303" s="5"/>
      <c r="D303" s="6"/>
      <c r="E303" s="5"/>
      <c r="F303" s="7" t="str">
        <f>IF(AND(A303&lt;&gt;"",B303&lt;&gt;"",C303&lt;&gt;"",D303&lt;&gt;""),LEFT(A303,2)&amp;LEFT(B303,4)&amp;LEFT(C303,2)&amp;SUBSTITUTE(UPPER(D303),"Ú","U"),"")</f>
        <v/>
      </c>
      <c r="G303" s="7" t="str">
        <f>IFERROR(INDEX(Modelos!$B$2:$B$301,MATCH($B303,Modelos!$C$2:$C$301,0))&amp;"","")</f>
        <v/>
      </c>
      <c r="H303" s="7" t="str">
        <f>IFERROR(INDEX(Modelos!$D$2:$D$301,MATCH($B303,Modelos!$C$2:$C$301,0))&amp;"","")</f>
        <v/>
      </c>
      <c r="I303" s="7" t="str">
        <f>IFERROR(INDEX(Modelos!$E$2:$E$301,MATCH($B303,Modelos!$C$2:$C$301,0))&amp;"","")</f>
        <v/>
      </c>
      <c r="J303" s="7" t="str">
        <f>IFERROR(INDEX(Modelos!$F$2:$F$301,MATCH($B303,Modelos!$C$2:$C$301,0))&amp;"","")</f>
        <v/>
      </c>
      <c r="K303" s="7" t="str">
        <f>IFERROR(INDEX(Modelos!$G$2:$G$301,MATCH($B303,Modelos!$C$2:$C$301,0))&amp;"","")</f>
        <v/>
      </c>
      <c r="L303" s="7" t="str">
        <f>IFERROR(INDEX(Diccionarios!$G$2:$G$201,MATCH($C303,Diccionarios!$H$2:$H$201,0))&amp;"","")</f>
        <v/>
      </c>
      <c r="M303" s="7" t="str">
        <f>IF(D303="","",D303&amp;"")</f>
        <v/>
      </c>
      <c r="N303" s="8" t="str">
        <f>IF($B303="","",IFERROR(INDEX(Modelos!$H$2:$H$301,MATCH($B303,Modelos!$C$2:$C$301,0)),""))</f>
        <v/>
      </c>
      <c r="O303" s="8" t="str">
        <f>IF($B303="","",IFERROR(INDEX(Modelos!$I$2:$I$301,MATCH($B303,Modelos!$C$2:$C$301,0)),""))</f>
        <v/>
      </c>
      <c r="P303" s="8" t="str">
        <f>IF($B303="","",IFERROR(INDEX(Modelos!$J$2:$J$301,MATCH($B303,Modelos!$C$2:$C$301,0)),""))</f>
        <v/>
      </c>
      <c r="Q303" s="7" t="str">
        <f>IFERROR(INDEX(Diccionarios!$B$2:$B$201,MATCH($A303,Diccionarios!$D$2:$D$201,0))&amp;"","")</f>
        <v/>
      </c>
      <c r="R303" s="7" t="str">
        <f>IFERROR(INDEX(Diccionarios!$C$2:$C$201,MATCH($A303,Diccionarios!$D$2:$D$201,0))&amp;"","")</f>
        <v/>
      </c>
      <c r="S303" s="7" t="str">
        <f>IFERROR(INDEX(Modelos!$K$2:$K$301,MATCH($B303,Modelos!$C$2:$C$301,0))&amp;"","")</f>
        <v/>
      </c>
      <c r="T303" s="7" t="str">
        <f>IFERROR(INDEX(Modelos!$L$2:$L$301,MATCH($B303,Modelos!$C$2:$C$301,0))&amp;"","")</f>
        <v/>
      </c>
    </row>
    <row r="304" spans="1:20" x14ac:dyDescent="0.25">
      <c r="A304" s="5"/>
      <c r="B304" s="5"/>
      <c r="C304" s="5"/>
      <c r="D304" s="6"/>
      <c r="E304" s="5"/>
      <c r="F304" s="7" t="str">
        <f>IF(AND(A304&lt;&gt;"",B304&lt;&gt;"",C304&lt;&gt;"",D304&lt;&gt;""),LEFT(A304,2)&amp;LEFT(B304,4)&amp;LEFT(C304,2)&amp;SUBSTITUTE(UPPER(D304),"Ú","U"),"")</f>
        <v/>
      </c>
      <c r="G304" s="7" t="str">
        <f>IFERROR(INDEX(Modelos!$B$2:$B$301,MATCH($B304,Modelos!$C$2:$C$301,0))&amp;"","")</f>
        <v/>
      </c>
      <c r="H304" s="7" t="str">
        <f>IFERROR(INDEX(Modelos!$D$2:$D$301,MATCH($B304,Modelos!$C$2:$C$301,0))&amp;"","")</f>
        <v/>
      </c>
      <c r="I304" s="7" t="str">
        <f>IFERROR(INDEX(Modelos!$E$2:$E$301,MATCH($B304,Modelos!$C$2:$C$301,0))&amp;"","")</f>
        <v/>
      </c>
      <c r="J304" s="7" t="str">
        <f>IFERROR(INDEX(Modelos!$F$2:$F$301,MATCH($B304,Modelos!$C$2:$C$301,0))&amp;"","")</f>
        <v/>
      </c>
      <c r="K304" s="7" t="str">
        <f>IFERROR(INDEX(Modelos!$G$2:$G$301,MATCH($B304,Modelos!$C$2:$C$301,0))&amp;"","")</f>
        <v/>
      </c>
      <c r="L304" s="7" t="str">
        <f>IFERROR(INDEX(Diccionarios!$G$2:$G$201,MATCH($C304,Diccionarios!$H$2:$H$201,0))&amp;"","")</f>
        <v/>
      </c>
      <c r="M304" s="7" t="str">
        <f>IF(D304="","",D304&amp;"")</f>
        <v/>
      </c>
      <c r="N304" s="8" t="str">
        <f>IF($B304="","",IFERROR(INDEX(Modelos!$H$2:$H$301,MATCH($B304,Modelos!$C$2:$C$301,0)),""))</f>
        <v/>
      </c>
      <c r="O304" s="8" t="str">
        <f>IF($B304="","",IFERROR(INDEX(Modelos!$I$2:$I$301,MATCH($B304,Modelos!$C$2:$C$301,0)),""))</f>
        <v/>
      </c>
      <c r="P304" s="8" t="str">
        <f>IF($B304="","",IFERROR(INDEX(Modelos!$J$2:$J$301,MATCH($B304,Modelos!$C$2:$C$301,0)),""))</f>
        <v/>
      </c>
      <c r="Q304" s="7" t="str">
        <f>IFERROR(INDEX(Diccionarios!$B$2:$B$201,MATCH($A304,Diccionarios!$D$2:$D$201,0))&amp;"","")</f>
        <v/>
      </c>
      <c r="R304" s="7" t="str">
        <f>IFERROR(INDEX(Diccionarios!$C$2:$C$201,MATCH($A304,Diccionarios!$D$2:$D$201,0))&amp;"","")</f>
        <v/>
      </c>
      <c r="S304" s="7" t="str">
        <f>IFERROR(INDEX(Modelos!$K$2:$K$301,MATCH($B304,Modelos!$C$2:$C$301,0))&amp;"","")</f>
        <v/>
      </c>
      <c r="T304" s="7" t="str">
        <f>IFERROR(INDEX(Modelos!$L$2:$L$301,MATCH($B304,Modelos!$C$2:$C$301,0))&amp;"","")</f>
        <v/>
      </c>
    </row>
    <row r="305" spans="1:20" x14ac:dyDescent="0.25">
      <c r="A305" s="5"/>
      <c r="B305" s="5"/>
      <c r="C305" s="5"/>
      <c r="D305" s="6"/>
      <c r="E305" s="5"/>
      <c r="F305" s="7" t="str">
        <f>IF(AND(A305&lt;&gt;"",B305&lt;&gt;"",C305&lt;&gt;"",D305&lt;&gt;""),LEFT(A305,2)&amp;LEFT(B305,4)&amp;LEFT(C305,2)&amp;SUBSTITUTE(UPPER(D305),"Ú","U"),"")</f>
        <v/>
      </c>
      <c r="G305" s="7" t="str">
        <f>IFERROR(INDEX(Modelos!$B$2:$B$301,MATCH($B305,Modelos!$C$2:$C$301,0))&amp;"","")</f>
        <v/>
      </c>
      <c r="H305" s="7" t="str">
        <f>IFERROR(INDEX(Modelos!$D$2:$D$301,MATCH($B305,Modelos!$C$2:$C$301,0))&amp;"","")</f>
        <v/>
      </c>
      <c r="I305" s="7" t="str">
        <f>IFERROR(INDEX(Modelos!$E$2:$E$301,MATCH($B305,Modelos!$C$2:$C$301,0))&amp;"","")</f>
        <v/>
      </c>
      <c r="J305" s="7" t="str">
        <f>IFERROR(INDEX(Modelos!$F$2:$F$301,MATCH($B305,Modelos!$C$2:$C$301,0))&amp;"","")</f>
        <v/>
      </c>
      <c r="K305" s="7" t="str">
        <f>IFERROR(INDEX(Modelos!$G$2:$G$301,MATCH($B305,Modelos!$C$2:$C$301,0))&amp;"","")</f>
        <v/>
      </c>
      <c r="L305" s="7" t="str">
        <f>IFERROR(INDEX(Diccionarios!$G$2:$G$201,MATCH($C305,Diccionarios!$H$2:$H$201,0))&amp;"","")</f>
        <v/>
      </c>
      <c r="M305" s="7" t="str">
        <f>IF(D305="","",D305&amp;"")</f>
        <v/>
      </c>
      <c r="N305" s="8" t="str">
        <f>IF($B305="","",IFERROR(INDEX(Modelos!$H$2:$H$301,MATCH($B305,Modelos!$C$2:$C$301,0)),""))</f>
        <v/>
      </c>
      <c r="O305" s="8" t="str">
        <f>IF($B305="","",IFERROR(INDEX(Modelos!$I$2:$I$301,MATCH($B305,Modelos!$C$2:$C$301,0)),""))</f>
        <v/>
      </c>
      <c r="P305" s="8" t="str">
        <f>IF($B305="","",IFERROR(INDEX(Modelos!$J$2:$J$301,MATCH($B305,Modelos!$C$2:$C$301,0)),""))</f>
        <v/>
      </c>
      <c r="Q305" s="7" t="str">
        <f>IFERROR(INDEX(Diccionarios!$B$2:$B$201,MATCH($A305,Diccionarios!$D$2:$D$201,0))&amp;"","")</f>
        <v/>
      </c>
      <c r="R305" s="7" t="str">
        <f>IFERROR(INDEX(Diccionarios!$C$2:$C$201,MATCH($A305,Diccionarios!$D$2:$D$201,0))&amp;"","")</f>
        <v/>
      </c>
      <c r="S305" s="7" t="str">
        <f>IFERROR(INDEX(Modelos!$K$2:$K$301,MATCH($B305,Modelos!$C$2:$C$301,0))&amp;"","")</f>
        <v/>
      </c>
      <c r="T305" s="7" t="str">
        <f>IFERROR(INDEX(Modelos!$L$2:$L$301,MATCH($B305,Modelos!$C$2:$C$301,0))&amp;"","")</f>
        <v/>
      </c>
    </row>
    <row r="306" spans="1:20" x14ac:dyDescent="0.25">
      <c r="A306" s="5"/>
      <c r="B306" s="5"/>
      <c r="C306" s="5"/>
      <c r="D306" s="6"/>
      <c r="E306" s="5"/>
      <c r="F306" s="7" t="str">
        <f>IF(AND(A306&lt;&gt;"",B306&lt;&gt;"",C306&lt;&gt;"",D306&lt;&gt;""),LEFT(A306,2)&amp;LEFT(B306,4)&amp;LEFT(C306,2)&amp;SUBSTITUTE(UPPER(D306),"Ú","U"),"")</f>
        <v/>
      </c>
      <c r="G306" s="7" t="str">
        <f>IFERROR(INDEX(Modelos!$B$2:$B$301,MATCH($B306,Modelos!$C$2:$C$301,0))&amp;"","")</f>
        <v/>
      </c>
      <c r="H306" s="7" t="str">
        <f>IFERROR(INDEX(Modelos!$D$2:$D$301,MATCH($B306,Modelos!$C$2:$C$301,0))&amp;"","")</f>
        <v/>
      </c>
      <c r="I306" s="7" t="str">
        <f>IFERROR(INDEX(Modelos!$E$2:$E$301,MATCH($B306,Modelos!$C$2:$C$301,0))&amp;"","")</f>
        <v/>
      </c>
      <c r="J306" s="7" t="str">
        <f>IFERROR(INDEX(Modelos!$F$2:$F$301,MATCH($B306,Modelos!$C$2:$C$301,0))&amp;"","")</f>
        <v/>
      </c>
      <c r="K306" s="7" t="str">
        <f>IFERROR(INDEX(Modelos!$G$2:$G$301,MATCH($B306,Modelos!$C$2:$C$301,0))&amp;"","")</f>
        <v/>
      </c>
      <c r="L306" s="7" t="str">
        <f>IFERROR(INDEX(Diccionarios!$G$2:$G$201,MATCH($C306,Diccionarios!$H$2:$H$201,0))&amp;"","")</f>
        <v/>
      </c>
      <c r="M306" s="7" t="str">
        <f>IF(D306="","",D306&amp;"")</f>
        <v/>
      </c>
      <c r="N306" s="8" t="str">
        <f>IF($B306="","",IFERROR(INDEX(Modelos!$H$2:$H$301,MATCH($B306,Modelos!$C$2:$C$301,0)),""))</f>
        <v/>
      </c>
      <c r="O306" s="8" t="str">
        <f>IF($B306="","",IFERROR(INDEX(Modelos!$I$2:$I$301,MATCH($B306,Modelos!$C$2:$C$301,0)),""))</f>
        <v/>
      </c>
      <c r="P306" s="8" t="str">
        <f>IF($B306="","",IFERROR(INDEX(Modelos!$J$2:$J$301,MATCH($B306,Modelos!$C$2:$C$301,0)),""))</f>
        <v/>
      </c>
      <c r="Q306" s="7" t="str">
        <f>IFERROR(INDEX(Diccionarios!$B$2:$B$201,MATCH($A306,Diccionarios!$D$2:$D$201,0))&amp;"","")</f>
        <v/>
      </c>
      <c r="R306" s="7" t="str">
        <f>IFERROR(INDEX(Diccionarios!$C$2:$C$201,MATCH($A306,Diccionarios!$D$2:$D$201,0))&amp;"","")</f>
        <v/>
      </c>
      <c r="S306" s="7" t="str">
        <f>IFERROR(INDEX(Modelos!$K$2:$K$301,MATCH($B306,Modelos!$C$2:$C$301,0))&amp;"","")</f>
        <v/>
      </c>
      <c r="T306" s="7" t="str">
        <f>IFERROR(INDEX(Modelos!$L$2:$L$301,MATCH($B306,Modelos!$C$2:$C$301,0))&amp;"","")</f>
        <v/>
      </c>
    </row>
    <row r="307" spans="1:20" x14ac:dyDescent="0.25">
      <c r="A307" s="5"/>
      <c r="B307" s="5"/>
      <c r="C307" s="5"/>
      <c r="D307" s="6"/>
      <c r="E307" s="5"/>
      <c r="F307" s="7" t="str">
        <f>IF(AND(A307&lt;&gt;"",B307&lt;&gt;"",C307&lt;&gt;"",D307&lt;&gt;""),LEFT(A307,2)&amp;LEFT(B307,4)&amp;LEFT(C307,2)&amp;SUBSTITUTE(UPPER(D307),"Ú","U"),"")</f>
        <v/>
      </c>
      <c r="G307" s="7" t="str">
        <f>IFERROR(INDEX(Modelos!$B$2:$B$301,MATCH($B307,Modelos!$C$2:$C$301,0))&amp;"","")</f>
        <v/>
      </c>
      <c r="H307" s="7" t="str">
        <f>IFERROR(INDEX(Modelos!$D$2:$D$301,MATCH($B307,Modelos!$C$2:$C$301,0))&amp;"","")</f>
        <v/>
      </c>
      <c r="I307" s="7" t="str">
        <f>IFERROR(INDEX(Modelos!$E$2:$E$301,MATCH($B307,Modelos!$C$2:$C$301,0))&amp;"","")</f>
        <v/>
      </c>
      <c r="J307" s="7" t="str">
        <f>IFERROR(INDEX(Modelos!$F$2:$F$301,MATCH($B307,Modelos!$C$2:$C$301,0))&amp;"","")</f>
        <v/>
      </c>
      <c r="K307" s="7" t="str">
        <f>IFERROR(INDEX(Modelos!$G$2:$G$301,MATCH($B307,Modelos!$C$2:$C$301,0))&amp;"","")</f>
        <v/>
      </c>
      <c r="L307" s="7" t="str">
        <f>IFERROR(INDEX(Diccionarios!$G$2:$G$201,MATCH($C307,Diccionarios!$H$2:$H$201,0))&amp;"","")</f>
        <v/>
      </c>
      <c r="M307" s="7" t="str">
        <f>IF(D307="","",D307&amp;"")</f>
        <v/>
      </c>
      <c r="N307" s="8" t="str">
        <f>IF($B307="","",IFERROR(INDEX(Modelos!$H$2:$H$301,MATCH($B307,Modelos!$C$2:$C$301,0)),""))</f>
        <v/>
      </c>
      <c r="O307" s="8" t="str">
        <f>IF($B307="","",IFERROR(INDEX(Modelos!$I$2:$I$301,MATCH($B307,Modelos!$C$2:$C$301,0)),""))</f>
        <v/>
      </c>
      <c r="P307" s="8" t="str">
        <f>IF($B307="","",IFERROR(INDEX(Modelos!$J$2:$J$301,MATCH($B307,Modelos!$C$2:$C$301,0)),""))</f>
        <v/>
      </c>
      <c r="Q307" s="7" t="str">
        <f>IFERROR(INDEX(Diccionarios!$B$2:$B$201,MATCH($A307,Diccionarios!$D$2:$D$201,0))&amp;"","")</f>
        <v/>
      </c>
      <c r="R307" s="7" t="str">
        <f>IFERROR(INDEX(Diccionarios!$C$2:$C$201,MATCH($A307,Diccionarios!$D$2:$D$201,0))&amp;"","")</f>
        <v/>
      </c>
      <c r="S307" s="7" t="str">
        <f>IFERROR(INDEX(Modelos!$K$2:$K$301,MATCH($B307,Modelos!$C$2:$C$301,0))&amp;"","")</f>
        <v/>
      </c>
      <c r="T307" s="7" t="str">
        <f>IFERROR(INDEX(Modelos!$L$2:$L$301,MATCH($B307,Modelos!$C$2:$C$301,0))&amp;"","")</f>
        <v/>
      </c>
    </row>
    <row r="308" spans="1:20" x14ac:dyDescent="0.25">
      <c r="A308" s="5"/>
      <c r="B308" s="5"/>
      <c r="C308" s="5"/>
      <c r="D308" s="6"/>
      <c r="E308" s="5"/>
      <c r="F308" s="7" t="str">
        <f>IF(AND(A308&lt;&gt;"",B308&lt;&gt;"",C308&lt;&gt;"",D308&lt;&gt;""),LEFT(A308,2)&amp;LEFT(B308,4)&amp;LEFT(C308,2)&amp;SUBSTITUTE(UPPER(D308),"Ú","U"),"")</f>
        <v/>
      </c>
      <c r="G308" s="7" t="str">
        <f>IFERROR(INDEX(Modelos!$B$2:$B$301,MATCH($B308,Modelos!$C$2:$C$301,0))&amp;"","")</f>
        <v/>
      </c>
      <c r="H308" s="7" t="str">
        <f>IFERROR(INDEX(Modelos!$D$2:$D$301,MATCH($B308,Modelos!$C$2:$C$301,0))&amp;"","")</f>
        <v/>
      </c>
      <c r="I308" s="7" t="str">
        <f>IFERROR(INDEX(Modelos!$E$2:$E$301,MATCH($B308,Modelos!$C$2:$C$301,0))&amp;"","")</f>
        <v/>
      </c>
      <c r="J308" s="7" t="str">
        <f>IFERROR(INDEX(Modelos!$F$2:$F$301,MATCH($B308,Modelos!$C$2:$C$301,0))&amp;"","")</f>
        <v/>
      </c>
      <c r="K308" s="7" t="str">
        <f>IFERROR(INDEX(Modelos!$G$2:$G$301,MATCH($B308,Modelos!$C$2:$C$301,0))&amp;"","")</f>
        <v/>
      </c>
      <c r="L308" s="7" t="str">
        <f>IFERROR(INDEX(Diccionarios!$G$2:$G$201,MATCH($C308,Diccionarios!$H$2:$H$201,0))&amp;"","")</f>
        <v/>
      </c>
      <c r="M308" s="7" t="str">
        <f>IF(D308="","",D308&amp;"")</f>
        <v/>
      </c>
      <c r="N308" s="8" t="str">
        <f>IF($B308="","",IFERROR(INDEX(Modelos!$H$2:$H$301,MATCH($B308,Modelos!$C$2:$C$301,0)),""))</f>
        <v/>
      </c>
      <c r="O308" s="8" t="str">
        <f>IF($B308="","",IFERROR(INDEX(Modelos!$I$2:$I$301,MATCH($B308,Modelos!$C$2:$C$301,0)),""))</f>
        <v/>
      </c>
      <c r="P308" s="8" t="str">
        <f>IF($B308="","",IFERROR(INDEX(Modelos!$J$2:$J$301,MATCH($B308,Modelos!$C$2:$C$301,0)),""))</f>
        <v/>
      </c>
      <c r="Q308" s="7" t="str">
        <f>IFERROR(INDEX(Diccionarios!$B$2:$B$201,MATCH($A308,Diccionarios!$D$2:$D$201,0))&amp;"","")</f>
        <v/>
      </c>
      <c r="R308" s="7" t="str">
        <f>IFERROR(INDEX(Diccionarios!$C$2:$C$201,MATCH($A308,Diccionarios!$D$2:$D$201,0))&amp;"","")</f>
        <v/>
      </c>
      <c r="S308" s="7" t="str">
        <f>IFERROR(INDEX(Modelos!$K$2:$K$301,MATCH($B308,Modelos!$C$2:$C$301,0))&amp;"","")</f>
        <v/>
      </c>
      <c r="T308" s="7" t="str">
        <f>IFERROR(INDEX(Modelos!$L$2:$L$301,MATCH($B308,Modelos!$C$2:$C$301,0))&amp;"","")</f>
        <v/>
      </c>
    </row>
    <row r="309" spans="1:20" x14ac:dyDescent="0.25">
      <c r="A309" s="5"/>
      <c r="B309" s="5"/>
      <c r="C309" s="5"/>
      <c r="D309" s="6"/>
      <c r="E309" s="5"/>
      <c r="F309" s="7" t="str">
        <f>IF(AND(A309&lt;&gt;"",B309&lt;&gt;"",C309&lt;&gt;"",D309&lt;&gt;""),LEFT(A309,2)&amp;LEFT(B309,4)&amp;LEFT(C309,2)&amp;SUBSTITUTE(UPPER(D309),"Ú","U"),"")</f>
        <v/>
      </c>
      <c r="G309" s="7" t="str">
        <f>IFERROR(INDEX(Modelos!$B$2:$B$301,MATCH($B309,Modelos!$C$2:$C$301,0))&amp;"","")</f>
        <v/>
      </c>
      <c r="H309" s="7" t="str">
        <f>IFERROR(INDEX(Modelos!$D$2:$D$301,MATCH($B309,Modelos!$C$2:$C$301,0))&amp;"","")</f>
        <v/>
      </c>
      <c r="I309" s="7" t="str">
        <f>IFERROR(INDEX(Modelos!$E$2:$E$301,MATCH($B309,Modelos!$C$2:$C$301,0))&amp;"","")</f>
        <v/>
      </c>
      <c r="J309" s="7" t="str">
        <f>IFERROR(INDEX(Modelos!$F$2:$F$301,MATCH($B309,Modelos!$C$2:$C$301,0))&amp;"","")</f>
        <v/>
      </c>
      <c r="K309" s="7" t="str">
        <f>IFERROR(INDEX(Modelos!$G$2:$G$301,MATCH($B309,Modelos!$C$2:$C$301,0))&amp;"","")</f>
        <v/>
      </c>
      <c r="L309" s="7" t="str">
        <f>IFERROR(INDEX(Diccionarios!$G$2:$G$201,MATCH($C309,Diccionarios!$H$2:$H$201,0))&amp;"","")</f>
        <v/>
      </c>
      <c r="M309" s="7" t="str">
        <f>IF(D309="","",D309&amp;"")</f>
        <v/>
      </c>
      <c r="N309" s="8" t="str">
        <f>IF($B309="","",IFERROR(INDEX(Modelos!$H$2:$H$301,MATCH($B309,Modelos!$C$2:$C$301,0)),""))</f>
        <v/>
      </c>
      <c r="O309" s="8" t="str">
        <f>IF($B309="","",IFERROR(INDEX(Modelos!$I$2:$I$301,MATCH($B309,Modelos!$C$2:$C$301,0)),""))</f>
        <v/>
      </c>
      <c r="P309" s="8" t="str">
        <f>IF($B309="","",IFERROR(INDEX(Modelos!$J$2:$J$301,MATCH($B309,Modelos!$C$2:$C$301,0)),""))</f>
        <v/>
      </c>
      <c r="Q309" s="7" t="str">
        <f>IFERROR(INDEX(Diccionarios!$B$2:$B$201,MATCH($A309,Diccionarios!$D$2:$D$201,0))&amp;"","")</f>
        <v/>
      </c>
      <c r="R309" s="7" t="str">
        <f>IFERROR(INDEX(Diccionarios!$C$2:$C$201,MATCH($A309,Diccionarios!$D$2:$D$201,0))&amp;"","")</f>
        <v/>
      </c>
      <c r="S309" s="7" t="str">
        <f>IFERROR(INDEX(Modelos!$K$2:$K$301,MATCH($B309,Modelos!$C$2:$C$301,0))&amp;"","")</f>
        <v/>
      </c>
      <c r="T309" s="7" t="str">
        <f>IFERROR(INDEX(Modelos!$L$2:$L$301,MATCH($B309,Modelos!$C$2:$C$301,0))&amp;"","")</f>
        <v/>
      </c>
    </row>
    <row r="310" spans="1:20" x14ac:dyDescent="0.25">
      <c r="A310" s="5"/>
      <c r="B310" s="5"/>
      <c r="C310" s="5"/>
      <c r="D310" s="6"/>
      <c r="E310" s="5"/>
      <c r="F310" s="7" t="str">
        <f>IF(AND(A310&lt;&gt;"",B310&lt;&gt;"",C310&lt;&gt;"",D310&lt;&gt;""),LEFT(A310,2)&amp;LEFT(B310,4)&amp;LEFT(C310,2)&amp;SUBSTITUTE(UPPER(D310),"Ú","U"),"")</f>
        <v/>
      </c>
      <c r="G310" s="7" t="str">
        <f>IFERROR(INDEX(Modelos!$B$2:$B$301,MATCH($B310,Modelos!$C$2:$C$301,0))&amp;"","")</f>
        <v/>
      </c>
      <c r="H310" s="7" t="str">
        <f>IFERROR(INDEX(Modelos!$D$2:$D$301,MATCH($B310,Modelos!$C$2:$C$301,0))&amp;"","")</f>
        <v/>
      </c>
      <c r="I310" s="7" t="str">
        <f>IFERROR(INDEX(Modelos!$E$2:$E$301,MATCH($B310,Modelos!$C$2:$C$301,0))&amp;"","")</f>
        <v/>
      </c>
      <c r="J310" s="7" t="str">
        <f>IFERROR(INDEX(Modelos!$F$2:$F$301,MATCH($B310,Modelos!$C$2:$C$301,0))&amp;"","")</f>
        <v/>
      </c>
      <c r="K310" s="7" t="str">
        <f>IFERROR(INDEX(Modelos!$G$2:$G$301,MATCH($B310,Modelos!$C$2:$C$301,0))&amp;"","")</f>
        <v/>
      </c>
      <c r="L310" s="7" t="str">
        <f>IFERROR(INDEX(Diccionarios!$G$2:$G$201,MATCH($C310,Diccionarios!$H$2:$H$201,0))&amp;"","")</f>
        <v/>
      </c>
      <c r="M310" s="7" t="str">
        <f>IF(D310="","",D310&amp;"")</f>
        <v/>
      </c>
      <c r="N310" s="8" t="str">
        <f>IF($B310="","",IFERROR(INDEX(Modelos!$H$2:$H$301,MATCH($B310,Modelos!$C$2:$C$301,0)),""))</f>
        <v/>
      </c>
      <c r="O310" s="8" t="str">
        <f>IF($B310="","",IFERROR(INDEX(Modelos!$I$2:$I$301,MATCH($B310,Modelos!$C$2:$C$301,0)),""))</f>
        <v/>
      </c>
      <c r="P310" s="8" t="str">
        <f>IF($B310="","",IFERROR(INDEX(Modelos!$J$2:$J$301,MATCH($B310,Modelos!$C$2:$C$301,0)),""))</f>
        <v/>
      </c>
      <c r="Q310" s="7" t="str">
        <f>IFERROR(INDEX(Diccionarios!$B$2:$B$201,MATCH($A310,Diccionarios!$D$2:$D$201,0))&amp;"","")</f>
        <v/>
      </c>
      <c r="R310" s="7" t="str">
        <f>IFERROR(INDEX(Diccionarios!$C$2:$C$201,MATCH($A310,Diccionarios!$D$2:$D$201,0))&amp;"","")</f>
        <v/>
      </c>
      <c r="S310" s="7" t="str">
        <f>IFERROR(INDEX(Modelos!$K$2:$K$301,MATCH($B310,Modelos!$C$2:$C$301,0))&amp;"","")</f>
        <v/>
      </c>
      <c r="T310" s="7" t="str">
        <f>IFERROR(INDEX(Modelos!$L$2:$L$301,MATCH($B310,Modelos!$C$2:$C$301,0))&amp;"","")</f>
        <v/>
      </c>
    </row>
    <row r="311" spans="1:20" x14ac:dyDescent="0.25">
      <c r="A311" s="5"/>
      <c r="B311" s="5"/>
      <c r="C311" s="5"/>
      <c r="D311" s="6"/>
      <c r="E311" s="5"/>
      <c r="F311" s="7" t="str">
        <f>IF(AND(A311&lt;&gt;"",B311&lt;&gt;"",C311&lt;&gt;"",D311&lt;&gt;""),LEFT(A311,2)&amp;LEFT(B311,4)&amp;LEFT(C311,2)&amp;SUBSTITUTE(UPPER(D311),"Ú","U"),"")</f>
        <v/>
      </c>
      <c r="G311" s="7" t="str">
        <f>IFERROR(INDEX(Modelos!$B$2:$B$301,MATCH($B311,Modelos!$C$2:$C$301,0))&amp;"","")</f>
        <v/>
      </c>
      <c r="H311" s="7" t="str">
        <f>IFERROR(INDEX(Modelos!$D$2:$D$301,MATCH($B311,Modelos!$C$2:$C$301,0))&amp;"","")</f>
        <v/>
      </c>
      <c r="I311" s="7" t="str">
        <f>IFERROR(INDEX(Modelos!$E$2:$E$301,MATCH($B311,Modelos!$C$2:$C$301,0))&amp;"","")</f>
        <v/>
      </c>
      <c r="J311" s="7" t="str">
        <f>IFERROR(INDEX(Modelos!$F$2:$F$301,MATCH($B311,Modelos!$C$2:$C$301,0))&amp;"","")</f>
        <v/>
      </c>
      <c r="K311" s="7" t="str">
        <f>IFERROR(INDEX(Modelos!$G$2:$G$301,MATCH($B311,Modelos!$C$2:$C$301,0))&amp;"","")</f>
        <v/>
      </c>
      <c r="L311" s="7" t="str">
        <f>IFERROR(INDEX(Diccionarios!$G$2:$G$201,MATCH($C311,Diccionarios!$H$2:$H$201,0))&amp;"","")</f>
        <v/>
      </c>
      <c r="M311" s="7" t="str">
        <f>IF(D311="","",D311&amp;"")</f>
        <v/>
      </c>
      <c r="N311" s="8" t="str">
        <f>IF($B311="","",IFERROR(INDEX(Modelos!$H$2:$H$301,MATCH($B311,Modelos!$C$2:$C$301,0)),""))</f>
        <v/>
      </c>
      <c r="O311" s="8" t="str">
        <f>IF($B311="","",IFERROR(INDEX(Modelos!$I$2:$I$301,MATCH($B311,Modelos!$C$2:$C$301,0)),""))</f>
        <v/>
      </c>
      <c r="P311" s="8" t="str">
        <f>IF($B311="","",IFERROR(INDEX(Modelos!$J$2:$J$301,MATCH($B311,Modelos!$C$2:$C$301,0)),""))</f>
        <v/>
      </c>
      <c r="Q311" s="7" t="str">
        <f>IFERROR(INDEX(Diccionarios!$B$2:$B$201,MATCH($A311,Diccionarios!$D$2:$D$201,0))&amp;"","")</f>
        <v/>
      </c>
      <c r="R311" s="7" t="str">
        <f>IFERROR(INDEX(Diccionarios!$C$2:$C$201,MATCH($A311,Diccionarios!$D$2:$D$201,0))&amp;"","")</f>
        <v/>
      </c>
      <c r="S311" s="7" t="str">
        <f>IFERROR(INDEX(Modelos!$K$2:$K$301,MATCH($B311,Modelos!$C$2:$C$301,0))&amp;"","")</f>
        <v/>
      </c>
      <c r="T311" s="7" t="str">
        <f>IFERROR(INDEX(Modelos!$L$2:$L$301,MATCH($B311,Modelos!$C$2:$C$301,0))&amp;"","")</f>
        <v/>
      </c>
    </row>
    <row r="312" spans="1:20" x14ac:dyDescent="0.25">
      <c r="A312" s="5"/>
      <c r="B312" s="5"/>
      <c r="C312" s="5"/>
      <c r="D312" s="6"/>
      <c r="E312" s="5"/>
      <c r="F312" s="7" t="str">
        <f>IF(AND(A312&lt;&gt;"",B312&lt;&gt;"",C312&lt;&gt;"",D312&lt;&gt;""),LEFT(A312,2)&amp;LEFT(B312,4)&amp;LEFT(C312,2)&amp;SUBSTITUTE(UPPER(D312),"Ú","U"),"")</f>
        <v/>
      </c>
      <c r="G312" s="7" t="str">
        <f>IFERROR(INDEX(Modelos!$B$2:$B$301,MATCH($B312,Modelos!$C$2:$C$301,0))&amp;"","")</f>
        <v/>
      </c>
      <c r="H312" s="7" t="str">
        <f>IFERROR(INDEX(Modelos!$D$2:$D$301,MATCH($B312,Modelos!$C$2:$C$301,0))&amp;"","")</f>
        <v/>
      </c>
      <c r="I312" s="7" t="str">
        <f>IFERROR(INDEX(Modelos!$E$2:$E$301,MATCH($B312,Modelos!$C$2:$C$301,0))&amp;"","")</f>
        <v/>
      </c>
      <c r="J312" s="7" t="str">
        <f>IFERROR(INDEX(Modelos!$F$2:$F$301,MATCH($B312,Modelos!$C$2:$C$301,0))&amp;"","")</f>
        <v/>
      </c>
      <c r="K312" s="7" t="str">
        <f>IFERROR(INDEX(Modelos!$G$2:$G$301,MATCH($B312,Modelos!$C$2:$C$301,0))&amp;"","")</f>
        <v/>
      </c>
      <c r="L312" s="7" t="str">
        <f>IFERROR(INDEX(Diccionarios!$G$2:$G$201,MATCH($C312,Diccionarios!$H$2:$H$201,0))&amp;"","")</f>
        <v/>
      </c>
      <c r="M312" s="7" t="str">
        <f>IF(D312="","",D312&amp;"")</f>
        <v/>
      </c>
      <c r="N312" s="8" t="str">
        <f>IF($B312="","",IFERROR(INDEX(Modelos!$H$2:$H$301,MATCH($B312,Modelos!$C$2:$C$301,0)),""))</f>
        <v/>
      </c>
      <c r="O312" s="8" t="str">
        <f>IF($B312="","",IFERROR(INDEX(Modelos!$I$2:$I$301,MATCH($B312,Modelos!$C$2:$C$301,0)),""))</f>
        <v/>
      </c>
      <c r="P312" s="8" t="str">
        <f>IF($B312="","",IFERROR(INDEX(Modelos!$J$2:$J$301,MATCH($B312,Modelos!$C$2:$C$301,0)),""))</f>
        <v/>
      </c>
      <c r="Q312" s="7" t="str">
        <f>IFERROR(INDEX(Diccionarios!$B$2:$B$201,MATCH($A312,Diccionarios!$D$2:$D$201,0))&amp;"","")</f>
        <v/>
      </c>
      <c r="R312" s="7" t="str">
        <f>IFERROR(INDEX(Diccionarios!$C$2:$C$201,MATCH($A312,Diccionarios!$D$2:$D$201,0))&amp;"","")</f>
        <v/>
      </c>
      <c r="S312" s="7" t="str">
        <f>IFERROR(INDEX(Modelos!$K$2:$K$301,MATCH($B312,Modelos!$C$2:$C$301,0))&amp;"","")</f>
        <v/>
      </c>
      <c r="T312" s="7" t="str">
        <f>IFERROR(INDEX(Modelos!$L$2:$L$301,MATCH($B312,Modelos!$C$2:$C$301,0))&amp;"","")</f>
        <v/>
      </c>
    </row>
    <row r="313" spans="1:20" x14ac:dyDescent="0.25">
      <c r="A313" s="5"/>
      <c r="B313" s="5"/>
      <c r="C313" s="5"/>
      <c r="D313" s="6"/>
      <c r="E313" s="5"/>
      <c r="F313" s="7" t="str">
        <f>IF(AND(A313&lt;&gt;"",B313&lt;&gt;"",C313&lt;&gt;"",D313&lt;&gt;""),LEFT(A313,2)&amp;LEFT(B313,4)&amp;LEFT(C313,2)&amp;SUBSTITUTE(UPPER(D313),"Ú","U"),"")</f>
        <v/>
      </c>
      <c r="G313" s="7" t="str">
        <f>IFERROR(INDEX(Modelos!$B$2:$B$301,MATCH($B313,Modelos!$C$2:$C$301,0))&amp;"","")</f>
        <v/>
      </c>
      <c r="H313" s="7" t="str">
        <f>IFERROR(INDEX(Modelos!$D$2:$D$301,MATCH($B313,Modelos!$C$2:$C$301,0))&amp;"","")</f>
        <v/>
      </c>
      <c r="I313" s="7" t="str">
        <f>IFERROR(INDEX(Modelos!$E$2:$E$301,MATCH($B313,Modelos!$C$2:$C$301,0))&amp;"","")</f>
        <v/>
      </c>
      <c r="J313" s="7" t="str">
        <f>IFERROR(INDEX(Modelos!$F$2:$F$301,MATCH($B313,Modelos!$C$2:$C$301,0))&amp;"","")</f>
        <v/>
      </c>
      <c r="K313" s="7" t="str">
        <f>IFERROR(INDEX(Modelos!$G$2:$G$301,MATCH($B313,Modelos!$C$2:$C$301,0))&amp;"","")</f>
        <v/>
      </c>
      <c r="L313" s="7" t="str">
        <f>IFERROR(INDEX(Diccionarios!$G$2:$G$201,MATCH($C313,Diccionarios!$H$2:$H$201,0))&amp;"","")</f>
        <v/>
      </c>
      <c r="M313" s="7" t="str">
        <f>IF(D313="","",D313&amp;"")</f>
        <v/>
      </c>
      <c r="N313" s="8" t="str">
        <f>IF($B313="","",IFERROR(INDEX(Modelos!$H$2:$H$301,MATCH($B313,Modelos!$C$2:$C$301,0)),""))</f>
        <v/>
      </c>
      <c r="O313" s="8" t="str">
        <f>IF($B313="","",IFERROR(INDEX(Modelos!$I$2:$I$301,MATCH($B313,Modelos!$C$2:$C$301,0)),""))</f>
        <v/>
      </c>
      <c r="P313" s="8" t="str">
        <f>IF($B313="","",IFERROR(INDEX(Modelos!$J$2:$J$301,MATCH($B313,Modelos!$C$2:$C$301,0)),""))</f>
        <v/>
      </c>
      <c r="Q313" s="7" t="str">
        <f>IFERROR(INDEX(Diccionarios!$B$2:$B$201,MATCH($A313,Diccionarios!$D$2:$D$201,0))&amp;"","")</f>
        <v/>
      </c>
      <c r="R313" s="7" t="str">
        <f>IFERROR(INDEX(Diccionarios!$C$2:$C$201,MATCH($A313,Diccionarios!$D$2:$D$201,0))&amp;"","")</f>
        <v/>
      </c>
      <c r="S313" s="7" t="str">
        <f>IFERROR(INDEX(Modelos!$K$2:$K$301,MATCH($B313,Modelos!$C$2:$C$301,0))&amp;"","")</f>
        <v/>
      </c>
      <c r="T313" s="7" t="str">
        <f>IFERROR(INDEX(Modelos!$L$2:$L$301,MATCH($B313,Modelos!$C$2:$C$301,0))&amp;"","")</f>
        <v/>
      </c>
    </row>
    <row r="314" spans="1:20" x14ac:dyDescent="0.25">
      <c r="A314" s="5"/>
      <c r="B314" s="5"/>
      <c r="C314" s="5"/>
      <c r="D314" s="6"/>
      <c r="E314" s="5"/>
      <c r="F314" s="7" t="str">
        <f>IF(AND(A314&lt;&gt;"",B314&lt;&gt;"",C314&lt;&gt;"",D314&lt;&gt;""),LEFT(A314,2)&amp;LEFT(B314,4)&amp;LEFT(C314,2)&amp;SUBSTITUTE(UPPER(D314),"Ú","U"),"")</f>
        <v/>
      </c>
      <c r="G314" s="7" t="str">
        <f>IFERROR(INDEX(Modelos!$B$2:$B$301,MATCH($B314,Modelos!$C$2:$C$301,0))&amp;"","")</f>
        <v/>
      </c>
      <c r="H314" s="7" t="str">
        <f>IFERROR(INDEX(Modelos!$D$2:$D$301,MATCH($B314,Modelos!$C$2:$C$301,0))&amp;"","")</f>
        <v/>
      </c>
      <c r="I314" s="7" t="str">
        <f>IFERROR(INDEX(Modelos!$E$2:$E$301,MATCH($B314,Modelos!$C$2:$C$301,0))&amp;"","")</f>
        <v/>
      </c>
      <c r="J314" s="7" t="str">
        <f>IFERROR(INDEX(Modelos!$F$2:$F$301,MATCH($B314,Modelos!$C$2:$C$301,0))&amp;"","")</f>
        <v/>
      </c>
      <c r="K314" s="7" t="str">
        <f>IFERROR(INDEX(Modelos!$G$2:$G$301,MATCH($B314,Modelos!$C$2:$C$301,0))&amp;"","")</f>
        <v/>
      </c>
      <c r="L314" s="7" t="str">
        <f>IFERROR(INDEX(Diccionarios!$G$2:$G$201,MATCH($C314,Diccionarios!$H$2:$H$201,0))&amp;"","")</f>
        <v/>
      </c>
      <c r="M314" s="7" t="str">
        <f>IF(D314="","",D314&amp;"")</f>
        <v/>
      </c>
      <c r="N314" s="8" t="str">
        <f>IF($B314="","",IFERROR(INDEX(Modelos!$H$2:$H$301,MATCH($B314,Modelos!$C$2:$C$301,0)),""))</f>
        <v/>
      </c>
      <c r="O314" s="8" t="str">
        <f>IF($B314="","",IFERROR(INDEX(Modelos!$I$2:$I$301,MATCH($B314,Modelos!$C$2:$C$301,0)),""))</f>
        <v/>
      </c>
      <c r="P314" s="8" t="str">
        <f>IF($B314="","",IFERROR(INDEX(Modelos!$J$2:$J$301,MATCH($B314,Modelos!$C$2:$C$301,0)),""))</f>
        <v/>
      </c>
      <c r="Q314" s="7" t="str">
        <f>IFERROR(INDEX(Diccionarios!$B$2:$B$201,MATCH($A314,Diccionarios!$D$2:$D$201,0))&amp;"","")</f>
        <v/>
      </c>
      <c r="R314" s="7" t="str">
        <f>IFERROR(INDEX(Diccionarios!$C$2:$C$201,MATCH($A314,Diccionarios!$D$2:$D$201,0))&amp;"","")</f>
        <v/>
      </c>
      <c r="S314" s="7" t="str">
        <f>IFERROR(INDEX(Modelos!$K$2:$K$301,MATCH($B314,Modelos!$C$2:$C$301,0))&amp;"","")</f>
        <v/>
      </c>
      <c r="T314" s="7" t="str">
        <f>IFERROR(INDEX(Modelos!$L$2:$L$301,MATCH($B314,Modelos!$C$2:$C$301,0))&amp;"","")</f>
        <v/>
      </c>
    </row>
    <row r="315" spans="1:20" x14ac:dyDescent="0.25">
      <c r="A315" s="5"/>
      <c r="B315" s="5"/>
      <c r="C315" s="5"/>
      <c r="D315" s="6"/>
      <c r="E315" s="5"/>
      <c r="F315" s="7" t="str">
        <f>IF(AND(A315&lt;&gt;"",B315&lt;&gt;"",C315&lt;&gt;"",D315&lt;&gt;""),LEFT(A315,2)&amp;LEFT(B315,4)&amp;LEFT(C315,2)&amp;SUBSTITUTE(UPPER(D315),"Ú","U"),"")</f>
        <v/>
      </c>
      <c r="G315" s="7" t="str">
        <f>IFERROR(INDEX(Modelos!$B$2:$B$301,MATCH($B315,Modelos!$C$2:$C$301,0))&amp;"","")</f>
        <v/>
      </c>
      <c r="H315" s="7" t="str">
        <f>IFERROR(INDEX(Modelos!$D$2:$D$301,MATCH($B315,Modelos!$C$2:$C$301,0))&amp;"","")</f>
        <v/>
      </c>
      <c r="I315" s="7" t="str">
        <f>IFERROR(INDEX(Modelos!$E$2:$E$301,MATCH($B315,Modelos!$C$2:$C$301,0))&amp;"","")</f>
        <v/>
      </c>
      <c r="J315" s="7" t="str">
        <f>IFERROR(INDEX(Modelos!$F$2:$F$301,MATCH($B315,Modelos!$C$2:$C$301,0))&amp;"","")</f>
        <v/>
      </c>
      <c r="K315" s="7" t="str">
        <f>IFERROR(INDEX(Modelos!$G$2:$G$301,MATCH($B315,Modelos!$C$2:$C$301,0))&amp;"","")</f>
        <v/>
      </c>
      <c r="L315" s="7" t="str">
        <f>IFERROR(INDEX(Diccionarios!$G$2:$G$201,MATCH($C315,Diccionarios!$H$2:$H$201,0))&amp;"","")</f>
        <v/>
      </c>
      <c r="M315" s="7" t="str">
        <f>IF(D315="","",D315&amp;"")</f>
        <v/>
      </c>
      <c r="N315" s="8" t="str">
        <f>IF($B315="","",IFERROR(INDEX(Modelos!$H$2:$H$301,MATCH($B315,Modelos!$C$2:$C$301,0)),""))</f>
        <v/>
      </c>
      <c r="O315" s="8" t="str">
        <f>IF($B315="","",IFERROR(INDEX(Modelos!$I$2:$I$301,MATCH($B315,Modelos!$C$2:$C$301,0)),""))</f>
        <v/>
      </c>
      <c r="P315" s="8" t="str">
        <f>IF($B315="","",IFERROR(INDEX(Modelos!$J$2:$J$301,MATCH($B315,Modelos!$C$2:$C$301,0)),""))</f>
        <v/>
      </c>
      <c r="Q315" s="7" t="str">
        <f>IFERROR(INDEX(Diccionarios!$B$2:$B$201,MATCH($A315,Diccionarios!$D$2:$D$201,0))&amp;"","")</f>
        <v/>
      </c>
      <c r="R315" s="7" t="str">
        <f>IFERROR(INDEX(Diccionarios!$C$2:$C$201,MATCH($A315,Diccionarios!$D$2:$D$201,0))&amp;"","")</f>
        <v/>
      </c>
      <c r="S315" s="7" t="str">
        <f>IFERROR(INDEX(Modelos!$K$2:$K$301,MATCH($B315,Modelos!$C$2:$C$301,0))&amp;"","")</f>
        <v/>
      </c>
      <c r="T315" s="7" t="str">
        <f>IFERROR(INDEX(Modelos!$L$2:$L$301,MATCH($B315,Modelos!$C$2:$C$301,0))&amp;"","")</f>
        <v/>
      </c>
    </row>
    <row r="316" spans="1:20" x14ac:dyDescent="0.25">
      <c r="A316" s="5"/>
      <c r="B316" s="5"/>
      <c r="C316" s="5"/>
      <c r="D316" s="6"/>
      <c r="E316" s="5"/>
      <c r="F316" s="7" t="str">
        <f>IF(AND(A316&lt;&gt;"",B316&lt;&gt;"",C316&lt;&gt;"",D316&lt;&gt;""),LEFT(A316,2)&amp;LEFT(B316,4)&amp;LEFT(C316,2)&amp;SUBSTITUTE(UPPER(D316),"Ú","U"),"")</f>
        <v/>
      </c>
      <c r="G316" s="7" t="str">
        <f>IFERROR(INDEX(Modelos!$B$2:$B$301,MATCH($B316,Modelos!$C$2:$C$301,0))&amp;"","")</f>
        <v/>
      </c>
      <c r="H316" s="7" t="str">
        <f>IFERROR(INDEX(Modelos!$D$2:$D$301,MATCH($B316,Modelos!$C$2:$C$301,0))&amp;"","")</f>
        <v/>
      </c>
      <c r="I316" s="7" t="str">
        <f>IFERROR(INDEX(Modelos!$E$2:$E$301,MATCH($B316,Modelos!$C$2:$C$301,0))&amp;"","")</f>
        <v/>
      </c>
      <c r="J316" s="7" t="str">
        <f>IFERROR(INDEX(Modelos!$F$2:$F$301,MATCH($B316,Modelos!$C$2:$C$301,0))&amp;"","")</f>
        <v/>
      </c>
      <c r="K316" s="7" t="str">
        <f>IFERROR(INDEX(Modelos!$G$2:$G$301,MATCH($B316,Modelos!$C$2:$C$301,0))&amp;"","")</f>
        <v/>
      </c>
      <c r="L316" s="7" t="str">
        <f>IFERROR(INDEX(Diccionarios!$G$2:$G$201,MATCH($C316,Diccionarios!$H$2:$H$201,0))&amp;"","")</f>
        <v/>
      </c>
      <c r="M316" s="7" t="str">
        <f>IF(D316="","",D316&amp;"")</f>
        <v/>
      </c>
      <c r="N316" s="8" t="str">
        <f>IF($B316="","",IFERROR(INDEX(Modelos!$H$2:$H$301,MATCH($B316,Modelos!$C$2:$C$301,0)),""))</f>
        <v/>
      </c>
      <c r="O316" s="8" t="str">
        <f>IF($B316="","",IFERROR(INDEX(Modelos!$I$2:$I$301,MATCH($B316,Modelos!$C$2:$C$301,0)),""))</f>
        <v/>
      </c>
      <c r="P316" s="8" t="str">
        <f>IF($B316="","",IFERROR(INDEX(Modelos!$J$2:$J$301,MATCH($B316,Modelos!$C$2:$C$301,0)),""))</f>
        <v/>
      </c>
      <c r="Q316" s="7" t="str">
        <f>IFERROR(INDEX(Diccionarios!$B$2:$B$201,MATCH($A316,Diccionarios!$D$2:$D$201,0))&amp;"","")</f>
        <v/>
      </c>
      <c r="R316" s="7" t="str">
        <f>IFERROR(INDEX(Diccionarios!$C$2:$C$201,MATCH($A316,Diccionarios!$D$2:$D$201,0))&amp;"","")</f>
        <v/>
      </c>
      <c r="S316" s="7" t="str">
        <f>IFERROR(INDEX(Modelos!$K$2:$K$301,MATCH($B316,Modelos!$C$2:$C$301,0))&amp;"","")</f>
        <v/>
      </c>
      <c r="T316" s="7" t="str">
        <f>IFERROR(INDEX(Modelos!$L$2:$L$301,MATCH($B316,Modelos!$C$2:$C$301,0))&amp;"","")</f>
        <v/>
      </c>
    </row>
    <row r="317" spans="1:20" x14ac:dyDescent="0.25">
      <c r="A317" s="5"/>
      <c r="B317" s="5"/>
      <c r="C317" s="5"/>
      <c r="D317" s="6"/>
      <c r="E317" s="5"/>
      <c r="F317" s="7" t="str">
        <f>IF(AND(A317&lt;&gt;"",B317&lt;&gt;"",C317&lt;&gt;"",D317&lt;&gt;""),LEFT(A317,2)&amp;LEFT(B317,4)&amp;LEFT(C317,2)&amp;SUBSTITUTE(UPPER(D317),"Ú","U"),"")</f>
        <v/>
      </c>
      <c r="G317" s="7" t="str">
        <f>IFERROR(INDEX(Modelos!$B$2:$B$301,MATCH($B317,Modelos!$C$2:$C$301,0))&amp;"","")</f>
        <v/>
      </c>
      <c r="H317" s="7" t="str">
        <f>IFERROR(INDEX(Modelos!$D$2:$D$301,MATCH($B317,Modelos!$C$2:$C$301,0))&amp;"","")</f>
        <v/>
      </c>
      <c r="I317" s="7" t="str">
        <f>IFERROR(INDEX(Modelos!$E$2:$E$301,MATCH($B317,Modelos!$C$2:$C$301,0))&amp;"","")</f>
        <v/>
      </c>
      <c r="J317" s="7" t="str">
        <f>IFERROR(INDEX(Modelos!$F$2:$F$301,MATCH($B317,Modelos!$C$2:$C$301,0))&amp;"","")</f>
        <v/>
      </c>
      <c r="K317" s="7" t="str">
        <f>IFERROR(INDEX(Modelos!$G$2:$G$301,MATCH($B317,Modelos!$C$2:$C$301,0))&amp;"","")</f>
        <v/>
      </c>
      <c r="L317" s="7" t="str">
        <f>IFERROR(INDEX(Diccionarios!$G$2:$G$201,MATCH($C317,Diccionarios!$H$2:$H$201,0))&amp;"","")</f>
        <v/>
      </c>
      <c r="M317" s="7" t="str">
        <f>IF(D317="","",D317&amp;"")</f>
        <v/>
      </c>
      <c r="N317" s="8" t="str">
        <f>IF($B317="","",IFERROR(INDEX(Modelos!$H$2:$H$301,MATCH($B317,Modelos!$C$2:$C$301,0)),""))</f>
        <v/>
      </c>
      <c r="O317" s="8" t="str">
        <f>IF($B317="","",IFERROR(INDEX(Modelos!$I$2:$I$301,MATCH($B317,Modelos!$C$2:$C$301,0)),""))</f>
        <v/>
      </c>
      <c r="P317" s="8" t="str">
        <f>IF($B317="","",IFERROR(INDEX(Modelos!$J$2:$J$301,MATCH($B317,Modelos!$C$2:$C$301,0)),""))</f>
        <v/>
      </c>
      <c r="Q317" s="7" t="str">
        <f>IFERROR(INDEX(Diccionarios!$B$2:$B$201,MATCH($A317,Diccionarios!$D$2:$D$201,0))&amp;"","")</f>
        <v/>
      </c>
      <c r="R317" s="7" t="str">
        <f>IFERROR(INDEX(Diccionarios!$C$2:$C$201,MATCH($A317,Diccionarios!$D$2:$D$201,0))&amp;"","")</f>
        <v/>
      </c>
      <c r="S317" s="7" t="str">
        <f>IFERROR(INDEX(Modelos!$K$2:$K$301,MATCH($B317,Modelos!$C$2:$C$301,0))&amp;"","")</f>
        <v/>
      </c>
      <c r="T317" s="7" t="str">
        <f>IFERROR(INDEX(Modelos!$L$2:$L$301,MATCH($B317,Modelos!$C$2:$C$301,0))&amp;"","")</f>
        <v/>
      </c>
    </row>
    <row r="318" spans="1:20" x14ac:dyDescent="0.25">
      <c r="A318" s="5"/>
      <c r="B318" s="5"/>
      <c r="C318" s="5"/>
      <c r="D318" s="6"/>
      <c r="E318" s="5"/>
      <c r="F318" s="7" t="str">
        <f>IF(AND(A318&lt;&gt;"",B318&lt;&gt;"",C318&lt;&gt;"",D318&lt;&gt;""),LEFT(A318,2)&amp;LEFT(B318,4)&amp;LEFT(C318,2)&amp;SUBSTITUTE(UPPER(D318),"Ú","U"),"")</f>
        <v/>
      </c>
      <c r="G318" s="7" t="str">
        <f>IFERROR(INDEX(Modelos!$B$2:$B$301,MATCH($B318,Modelos!$C$2:$C$301,0))&amp;"","")</f>
        <v/>
      </c>
      <c r="H318" s="7" t="str">
        <f>IFERROR(INDEX(Modelos!$D$2:$D$301,MATCH($B318,Modelos!$C$2:$C$301,0))&amp;"","")</f>
        <v/>
      </c>
      <c r="I318" s="7" t="str">
        <f>IFERROR(INDEX(Modelos!$E$2:$E$301,MATCH($B318,Modelos!$C$2:$C$301,0))&amp;"","")</f>
        <v/>
      </c>
      <c r="J318" s="7" t="str">
        <f>IFERROR(INDEX(Modelos!$F$2:$F$301,MATCH($B318,Modelos!$C$2:$C$301,0))&amp;"","")</f>
        <v/>
      </c>
      <c r="K318" s="7" t="str">
        <f>IFERROR(INDEX(Modelos!$G$2:$G$301,MATCH($B318,Modelos!$C$2:$C$301,0))&amp;"","")</f>
        <v/>
      </c>
      <c r="L318" s="7" t="str">
        <f>IFERROR(INDEX(Diccionarios!$G$2:$G$201,MATCH($C318,Diccionarios!$H$2:$H$201,0))&amp;"","")</f>
        <v/>
      </c>
      <c r="M318" s="7" t="str">
        <f>IF(D318="","",D318&amp;"")</f>
        <v/>
      </c>
      <c r="N318" s="8" t="str">
        <f>IF($B318="","",IFERROR(INDEX(Modelos!$H$2:$H$301,MATCH($B318,Modelos!$C$2:$C$301,0)),""))</f>
        <v/>
      </c>
      <c r="O318" s="8" t="str">
        <f>IF($B318="","",IFERROR(INDEX(Modelos!$I$2:$I$301,MATCH($B318,Modelos!$C$2:$C$301,0)),""))</f>
        <v/>
      </c>
      <c r="P318" s="8" t="str">
        <f>IF($B318="","",IFERROR(INDEX(Modelos!$J$2:$J$301,MATCH($B318,Modelos!$C$2:$C$301,0)),""))</f>
        <v/>
      </c>
      <c r="Q318" s="7" t="str">
        <f>IFERROR(INDEX(Diccionarios!$B$2:$B$201,MATCH($A318,Diccionarios!$D$2:$D$201,0))&amp;"","")</f>
        <v/>
      </c>
      <c r="R318" s="7" t="str">
        <f>IFERROR(INDEX(Diccionarios!$C$2:$C$201,MATCH($A318,Diccionarios!$D$2:$D$201,0))&amp;"","")</f>
        <v/>
      </c>
      <c r="S318" s="7" t="str">
        <f>IFERROR(INDEX(Modelos!$K$2:$K$301,MATCH($B318,Modelos!$C$2:$C$301,0))&amp;"","")</f>
        <v/>
      </c>
      <c r="T318" s="7" t="str">
        <f>IFERROR(INDEX(Modelos!$L$2:$L$301,MATCH($B318,Modelos!$C$2:$C$301,0))&amp;"","")</f>
        <v/>
      </c>
    </row>
    <row r="319" spans="1:20" x14ac:dyDescent="0.25">
      <c r="A319" s="5"/>
      <c r="B319" s="5"/>
      <c r="C319" s="5"/>
      <c r="D319" s="6"/>
      <c r="E319" s="5"/>
      <c r="F319" s="7" t="str">
        <f>IF(AND(A319&lt;&gt;"",B319&lt;&gt;"",C319&lt;&gt;"",D319&lt;&gt;""),LEFT(A319,2)&amp;LEFT(B319,4)&amp;LEFT(C319,2)&amp;SUBSTITUTE(UPPER(D319),"Ú","U"),"")</f>
        <v/>
      </c>
      <c r="G319" s="7" t="str">
        <f>IFERROR(INDEX(Modelos!$B$2:$B$301,MATCH($B319,Modelos!$C$2:$C$301,0))&amp;"","")</f>
        <v/>
      </c>
      <c r="H319" s="7" t="str">
        <f>IFERROR(INDEX(Modelos!$D$2:$D$301,MATCH($B319,Modelos!$C$2:$C$301,0))&amp;"","")</f>
        <v/>
      </c>
      <c r="I319" s="7" t="str">
        <f>IFERROR(INDEX(Modelos!$E$2:$E$301,MATCH($B319,Modelos!$C$2:$C$301,0))&amp;"","")</f>
        <v/>
      </c>
      <c r="J319" s="7" t="str">
        <f>IFERROR(INDEX(Modelos!$F$2:$F$301,MATCH($B319,Modelos!$C$2:$C$301,0))&amp;"","")</f>
        <v/>
      </c>
      <c r="K319" s="7" t="str">
        <f>IFERROR(INDEX(Modelos!$G$2:$G$301,MATCH($B319,Modelos!$C$2:$C$301,0))&amp;"","")</f>
        <v/>
      </c>
      <c r="L319" s="7" t="str">
        <f>IFERROR(INDEX(Diccionarios!$G$2:$G$201,MATCH($C319,Diccionarios!$H$2:$H$201,0))&amp;"","")</f>
        <v/>
      </c>
      <c r="M319" s="7" t="str">
        <f>IF(D319="","",D319&amp;"")</f>
        <v/>
      </c>
      <c r="N319" s="8" t="str">
        <f>IF($B319="","",IFERROR(INDEX(Modelos!$H$2:$H$301,MATCH($B319,Modelos!$C$2:$C$301,0)),""))</f>
        <v/>
      </c>
      <c r="O319" s="8" t="str">
        <f>IF($B319="","",IFERROR(INDEX(Modelos!$I$2:$I$301,MATCH($B319,Modelos!$C$2:$C$301,0)),""))</f>
        <v/>
      </c>
      <c r="P319" s="8" t="str">
        <f>IF($B319="","",IFERROR(INDEX(Modelos!$J$2:$J$301,MATCH($B319,Modelos!$C$2:$C$301,0)),""))</f>
        <v/>
      </c>
      <c r="Q319" s="7" t="str">
        <f>IFERROR(INDEX(Diccionarios!$B$2:$B$201,MATCH($A319,Diccionarios!$D$2:$D$201,0))&amp;"","")</f>
        <v/>
      </c>
      <c r="R319" s="7" t="str">
        <f>IFERROR(INDEX(Diccionarios!$C$2:$C$201,MATCH($A319,Diccionarios!$D$2:$D$201,0))&amp;"","")</f>
        <v/>
      </c>
      <c r="S319" s="7" t="str">
        <f>IFERROR(INDEX(Modelos!$K$2:$K$301,MATCH($B319,Modelos!$C$2:$C$301,0))&amp;"","")</f>
        <v/>
      </c>
      <c r="T319" s="7" t="str">
        <f>IFERROR(INDEX(Modelos!$L$2:$L$301,MATCH($B319,Modelos!$C$2:$C$301,0))&amp;"","")</f>
        <v/>
      </c>
    </row>
    <row r="320" spans="1:20" x14ac:dyDescent="0.25">
      <c r="A320" s="5"/>
      <c r="B320" s="5"/>
      <c r="C320" s="5"/>
      <c r="D320" s="6"/>
      <c r="E320" s="5"/>
      <c r="F320" s="7" t="str">
        <f>IF(AND(A320&lt;&gt;"",B320&lt;&gt;"",C320&lt;&gt;"",D320&lt;&gt;""),LEFT(A320,2)&amp;LEFT(B320,4)&amp;LEFT(C320,2)&amp;SUBSTITUTE(UPPER(D320),"Ú","U"),"")</f>
        <v/>
      </c>
      <c r="G320" s="7" t="str">
        <f>IFERROR(INDEX(Modelos!$B$2:$B$301,MATCH($B320,Modelos!$C$2:$C$301,0))&amp;"","")</f>
        <v/>
      </c>
      <c r="H320" s="7" t="str">
        <f>IFERROR(INDEX(Modelos!$D$2:$D$301,MATCH($B320,Modelos!$C$2:$C$301,0))&amp;"","")</f>
        <v/>
      </c>
      <c r="I320" s="7" t="str">
        <f>IFERROR(INDEX(Modelos!$E$2:$E$301,MATCH($B320,Modelos!$C$2:$C$301,0))&amp;"","")</f>
        <v/>
      </c>
      <c r="J320" s="7" t="str">
        <f>IFERROR(INDEX(Modelos!$F$2:$F$301,MATCH($B320,Modelos!$C$2:$C$301,0))&amp;"","")</f>
        <v/>
      </c>
      <c r="K320" s="7" t="str">
        <f>IFERROR(INDEX(Modelos!$G$2:$G$301,MATCH($B320,Modelos!$C$2:$C$301,0))&amp;"","")</f>
        <v/>
      </c>
      <c r="L320" s="7" t="str">
        <f>IFERROR(INDEX(Diccionarios!$G$2:$G$201,MATCH($C320,Diccionarios!$H$2:$H$201,0))&amp;"","")</f>
        <v/>
      </c>
      <c r="M320" s="7" t="str">
        <f>IF(D320="","",D320&amp;"")</f>
        <v/>
      </c>
      <c r="N320" s="8" t="str">
        <f>IF($B320="","",IFERROR(INDEX(Modelos!$H$2:$H$301,MATCH($B320,Modelos!$C$2:$C$301,0)),""))</f>
        <v/>
      </c>
      <c r="O320" s="8" t="str">
        <f>IF($B320="","",IFERROR(INDEX(Modelos!$I$2:$I$301,MATCH($B320,Modelos!$C$2:$C$301,0)),""))</f>
        <v/>
      </c>
      <c r="P320" s="8" t="str">
        <f>IF($B320="","",IFERROR(INDEX(Modelos!$J$2:$J$301,MATCH($B320,Modelos!$C$2:$C$301,0)),""))</f>
        <v/>
      </c>
      <c r="Q320" s="7" t="str">
        <f>IFERROR(INDEX(Diccionarios!$B$2:$B$201,MATCH($A320,Diccionarios!$D$2:$D$201,0))&amp;"","")</f>
        <v/>
      </c>
      <c r="R320" s="7" t="str">
        <f>IFERROR(INDEX(Diccionarios!$C$2:$C$201,MATCH($A320,Diccionarios!$D$2:$D$201,0))&amp;"","")</f>
        <v/>
      </c>
      <c r="S320" s="7" t="str">
        <f>IFERROR(INDEX(Modelos!$K$2:$K$301,MATCH($B320,Modelos!$C$2:$C$301,0))&amp;"","")</f>
        <v/>
      </c>
      <c r="T320" s="7" t="str">
        <f>IFERROR(INDEX(Modelos!$L$2:$L$301,MATCH($B320,Modelos!$C$2:$C$301,0))&amp;"","")</f>
        <v/>
      </c>
    </row>
    <row r="321" spans="1:20" x14ac:dyDescent="0.25">
      <c r="A321" s="5"/>
      <c r="B321" s="5"/>
      <c r="C321" s="5"/>
      <c r="D321" s="6"/>
      <c r="E321" s="5"/>
      <c r="F321" s="7" t="str">
        <f>IF(AND(A321&lt;&gt;"",B321&lt;&gt;"",C321&lt;&gt;"",D321&lt;&gt;""),LEFT(A321,2)&amp;LEFT(B321,4)&amp;LEFT(C321,2)&amp;SUBSTITUTE(UPPER(D321),"Ú","U"),"")</f>
        <v/>
      </c>
      <c r="G321" s="7" t="str">
        <f>IFERROR(INDEX(Modelos!$B$2:$B$301,MATCH($B321,Modelos!$C$2:$C$301,0))&amp;"","")</f>
        <v/>
      </c>
      <c r="H321" s="7" t="str">
        <f>IFERROR(INDEX(Modelos!$D$2:$D$301,MATCH($B321,Modelos!$C$2:$C$301,0))&amp;"","")</f>
        <v/>
      </c>
      <c r="I321" s="7" t="str">
        <f>IFERROR(INDEX(Modelos!$E$2:$E$301,MATCH($B321,Modelos!$C$2:$C$301,0))&amp;"","")</f>
        <v/>
      </c>
      <c r="J321" s="7" t="str">
        <f>IFERROR(INDEX(Modelos!$F$2:$F$301,MATCH($B321,Modelos!$C$2:$C$301,0))&amp;"","")</f>
        <v/>
      </c>
      <c r="K321" s="7" t="str">
        <f>IFERROR(INDEX(Modelos!$G$2:$G$301,MATCH($B321,Modelos!$C$2:$C$301,0))&amp;"","")</f>
        <v/>
      </c>
      <c r="L321" s="7" t="str">
        <f>IFERROR(INDEX(Diccionarios!$G$2:$G$201,MATCH($C321,Diccionarios!$H$2:$H$201,0))&amp;"","")</f>
        <v/>
      </c>
      <c r="M321" s="7" t="str">
        <f>IF(D321="","",D321&amp;"")</f>
        <v/>
      </c>
      <c r="N321" s="8" t="str">
        <f>IF($B321="","",IFERROR(INDEX(Modelos!$H$2:$H$301,MATCH($B321,Modelos!$C$2:$C$301,0)),""))</f>
        <v/>
      </c>
      <c r="O321" s="8" t="str">
        <f>IF($B321="","",IFERROR(INDEX(Modelos!$I$2:$I$301,MATCH($B321,Modelos!$C$2:$C$301,0)),""))</f>
        <v/>
      </c>
      <c r="P321" s="8" t="str">
        <f>IF($B321="","",IFERROR(INDEX(Modelos!$J$2:$J$301,MATCH($B321,Modelos!$C$2:$C$301,0)),""))</f>
        <v/>
      </c>
      <c r="Q321" s="7" t="str">
        <f>IFERROR(INDEX(Diccionarios!$B$2:$B$201,MATCH($A321,Diccionarios!$D$2:$D$201,0))&amp;"","")</f>
        <v/>
      </c>
      <c r="R321" s="7" t="str">
        <f>IFERROR(INDEX(Diccionarios!$C$2:$C$201,MATCH($A321,Diccionarios!$D$2:$D$201,0))&amp;"","")</f>
        <v/>
      </c>
      <c r="S321" s="7" t="str">
        <f>IFERROR(INDEX(Modelos!$K$2:$K$301,MATCH($B321,Modelos!$C$2:$C$301,0))&amp;"","")</f>
        <v/>
      </c>
      <c r="T321" s="7" t="str">
        <f>IFERROR(INDEX(Modelos!$L$2:$L$301,MATCH($B321,Modelos!$C$2:$C$301,0))&amp;"","")</f>
        <v/>
      </c>
    </row>
    <row r="322" spans="1:20" x14ac:dyDescent="0.25">
      <c r="A322" s="5"/>
      <c r="B322" s="5"/>
      <c r="C322" s="5"/>
      <c r="D322" s="6"/>
      <c r="E322" s="5"/>
      <c r="F322" s="7" t="str">
        <f>IF(AND(A322&lt;&gt;"",B322&lt;&gt;"",C322&lt;&gt;"",D322&lt;&gt;""),LEFT(A322,2)&amp;LEFT(B322,4)&amp;LEFT(C322,2)&amp;SUBSTITUTE(UPPER(D322),"Ú","U"),"")</f>
        <v/>
      </c>
      <c r="G322" s="7" t="str">
        <f>IFERROR(INDEX(Modelos!$B$2:$B$301,MATCH($B322,Modelos!$C$2:$C$301,0))&amp;"","")</f>
        <v/>
      </c>
      <c r="H322" s="7" t="str">
        <f>IFERROR(INDEX(Modelos!$D$2:$D$301,MATCH($B322,Modelos!$C$2:$C$301,0))&amp;"","")</f>
        <v/>
      </c>
      <c r="I322" s="7" t="str">
        <f>IFERROR(INDEX(Modelos!$E$2:$E$301,MATCH($B322,Modelos!$C$2:$C$301,0))&amp;"","")</f>
        <v/>
      </c>
      <c r="J322" s="7" t="str">
        <f>IFERROR(INDEX(Modelos!$F$2:$F$301,MATCH($B322,Modelos!$C$2:$C$301,0))&amp;"","")</f>
        <v/>
      </c>
      <c r="K322" s="7" t="str">
        <f>IFERROR(INDEX(Modelos!$G$2:$G$301,MATCH($B322,Modelos!$C$2:$C$301,0))&amp;"","")</f>
        <v/>
      </c>
      <c r="L322" s="7" t="str">
        <f>IFERROR(INDEX(Diccionarios!$G$2:$G$201,MATCH($C322,Diccionarios!$H$2:$H$201,0))&amp;"","")</f>
        <v/>
      </c>
      <c r="M322" s="7" t="str">
        <f>IF(D322="","",D322&amp;"")</f>
        <v/>
      </c>
      <c r="N322" s="8" t="str">
        <f>IF($B322="","",IFERROR(INDEX(Modelos!$H$2:$H$301,MATCH($B322,Modelos!$C$2:$C$301,0)),""))</f>
        <v/>
      </c>
      <c r="O322" s="8" t="str">
        <f>IF($B322="","",IFERROR(INDEX(Modelos!$I$2:$I$301,MATCH($B322,Modelos!$C$2:$C$301,0)),""))</f>
        <v/>
      </c>
      <c r="P322" s="8" t="str">
        <f>IF($B322="","",IFERROR(INDEX(Modelos!$J$2:$J$301,MATCH($B322,Modelos!$C$2:$C$301,0)),""))</f>
        <v/>
      </c>
      <c r="Q322" s="7" t="str">
        <f>IFERROR(INDEX(Diccionarios!$B$2:$B$201,MATCH($A322,Diccionarios!$D$2:$D$201,0))&amp;"","")</f>
        <v/>
      </c>
      <c r="R322" s="7" t="str">
        <f>IFERROR(INDEX(Diccionarios!$C$2:$C$201,MATCH($A322,Diccionarios!$D$2:$D$201,0))&amp;"","")</f>
        <v/>
      </c>
      <c r="S322" s="7" t="str">
        <f>IFERROR(INDEX(Modelos!$K$2:$K$301,MATCH($B322,Modelos!$C$2:$C$301,0))&amp;"","")</f>
        <v/>
      </c>
      <c r="T322" s="7" t="str">
        <f>IFERROR(INDEX(Modelos!$L$2:$L$301,MATCH($B322,Modelos!$C$2:$C$301,0))&amp;"","")</f>
        <v/>
      </c>
    </row>
    <row r="323" spans="1:20" x14ac:dyDescent="0.25">
      <c r="A323" s="5"/>
      <c r="B323" s="5"/>
      <c r="C323" s="5"/>
      <c r="D323" s="6"/>
      <c r="E323" s="5"/>
      <c r="F323" s="7" t="str">
        <f>IF(AND(A323&lt;&gt;"",B323&lt;&gt;"",C323&lt;&gt;"",D323&lt;&gt;""),LEFT(A323,2)&amp;LEFT(B323,4)&amp;LEFT(C323,2)&amp;SUBSTITUTE(UPPER(D323),"Ú","U"),"")</f>
        <v/>
      </c>
      <c r="G323" s="7" t="str">
        <f>IFERROR(INDEX(Modelos!$B$2:$B$301,MATCH($B323,Modelos!$C$2:$C$301,0))&amp;"","")</f>
        <v/>
      </c>
      <c r="H323" s="7" t="str">
        <f>IFERROR(INDEX(Modelos!$D$2:$D$301,MATCH($B323,Modelos!$C$2:$C$301,0))&amp;"","")</f>
        <v/>
      </c>
      <c r="I323" s="7" t="str">
        <f>IFERROR(INDEX(Modelos!$E$2:$E$301,MATCH($B323,Modelos!$C$2:$C$301,0))&amp;"","")</f>
        <v/>
      </c>
      <c r="J323" s="7" t="str">
        <f>IFERROR(INDEX(Modelos!$F$2:$F$301,MATCH($B323,Modelos!$C$2:$C$301,0))&amp;"","")</f>
        <v/>
      </c>
      <c r="K323" s="7" t="str">
        <f>IFERROR(INDEX(Modelos!$G$2:$G$301,MATCH($B323,Modelos!$C$2:$C$301,0))&amp;"","")</f>
        <v/>
      </c>
      <c r="L323" s="7" t="str">
        <f>IFERROR(INDEX(Diccionarios!$G$2:$G$201,MATCH($C323,Diccionarios!$H$2:$H$201,0))&amp;"","")</f>
        <v/>
      </c>
      <c r="M323" s="7" t="str">
        <f>IF(D323="","",D323&amp;"")</f>
        <v/>
      </c>
      <c r="N323" s="8" t="str">
        <f>IF($B323="","",IFERROR(INDEX(Modelos!$H$2:$H$301,MATCH($B323,Modelos!$C$2:$C$301,0)),""))</f>
        <v/>
      </c>
      <c r="O323" s="8" t="str">
        <f>IF($B323="","",IFERROR(INDEX(Modelos!$I$2:$I$301,MATCH($B323,Modelos!$C$2:$C$301,0)),""))</f>
        <v/>
      </c>
      <c r="P323" s="8" t="str">
        <f>IF($B323="","",IFERROR(INDEX(Modelos!$J$2:$J$301,MATCH($B323,Modelos!$C$2:$C$301,0)),""))</f>
        <v/>
      </c>
      <c r="Q323" s="7" t="str">
        <f>IFERROR(INDEX(Diccionarios!$B$2:$B$201,MATCH($A323,Diccionarios!$D$2:$D$201,0))&amp;"","")</f>
        <v/>
      </c>
      <c r="R323" s="7" t="str">
        <f>IFERROR(INDEX(Diccionarios!$C$2:$C$201,MATCH($A323,Diccionarios!$D$2:$D$201,0))&amp;"","")</f>
        <v/>
      </c>
      <c r="S323" s="7" t="str">
        <f>IFERROR(INDEX(Modelos!$K$2:$K$301,MATCH($B323,Modelos!$C$2:$C$301,0))&amp;"","")</f>
        <v/>
      </c>
      <c r="T323" s="7" t="str">
        <f>IFERROR(INDEX(Modelos!$L$2:$L$301,MATCH($B323,Modelos!$C$2:$C$301,0))&amp;"","")</f>
        <v/>
      </c>
    </row>
    <row r="324" spans="1:20" x14ac:dyDescent="0.25">
      <c r="A324" s="5"/>
      <c r="B324" s="5"/>
      <c r="C324" s="5"/>
      <c r="D324" s="6"/>
      <c r="E324" s="5"/>
      <c r="F324" s="7" t="str">
        <f>IF(AND(A324&lt;&gt;"",B324&lt;&gt;"",C324&lt;&gt;"",D324&lt;&gt;""),LEFT(A324,2)&amp;LEFT(B324,4)&amp;LEFT(C324,2)&amp;SUBSTITUTE(UPPER(D324),"Ú","U"),"")</f>
        <v/>
      </c>
      <c r="G324" s="7" t="str">
        <f>IFERROR(INDEX(Modelos!$B$2:$B$301,MATCH($B324,Modelos!$C$2:$C$301,0))&amp;"","")</f>
        <v/>
      </c>
      <c r="H324" s="7" t="str">
        <f>IFERROR(INDEX(Modelos!$D$2:$D$301,MATCH($B324,Modelos!$C$2:$C$301,0))&amp;"","")</f>
        <v/>
      </c>
      <c r="I324" s="7" t="str">
        <f>IFERROR(INDEX(Modelos!$E$2:$E$301,MATCH($B324,Modelos!$C$2:$C$301,0))&amp;"","")</f>
        <v/>
      </c>
      <c r="J324" s="7" t="str">
        <f>IFERROR(INDEX(Modelos!$F$2:$F$301,MATCH($B324,Modelos!$C$2:$C$301,0))&amp;"","")</f>
        <v/>
      </c>
      <c r="K324" s="7" t="str">
        <f>IFERROR(INDEX(Modelos!$G$2:$G$301,MATCH($B324,Modelos!$C$2:$C$301,0))&amp;"","")</f>
        <v/>
      </c>
      <c r="L324" s="7" t="str">
        <f>IFERROR(INDEX(Diccionarios!$G$2:$G$201,MATCH($C324,Diccionarios!$H$2:$H$201,0))&amp;"","")</f>
        <v/>
      </c>
      <c r="M324" s="7" t="str">
        <f>IF(D324="","",D324&amp;"")</f>
        <v/>
      </c>
      <c r="N324" s="8" t="str">
        <f>IF($B324="","",IFERROR(INDEX(Modelos!$H$2:$H$301,MATCH($B324,Modelos!$C$2:$C$301,0)),""))</f>
        <v/>
      </c>
      <c r="O324" s="8" t="str">
        <f>IF($B324="","",IFERROR(INDEX(Modelos!$I$2:$I$301,MATCH($B324,Modelos!$C$2:$C$301,0)),""))</f>
        <v/>
      </c>
      <c r="P324" s="8" t="str">
        <f>IF($B324="","",IFERROR(INDEX(Modelos!$J$2:$J$301,MATCH($B324,Modelos!$C$2:$C$301,0)),""))</f>
        <v/>
      </c>
      <c r="Q324" s="7" t="str">
        <f>IFERROR(INDEX(Diccionarios!$B$2:$B$201,MATCH($A324,Diccionarios!$D$2:$D$201,0))&amp;"","")</f>
        <v/>
      </c>
      <c r="R324" s="7" t="str">
        <f>IFERROR(INDEX(Diccionarios!$C$2:$C$201,MATCH($A324,Diccionarios!$D$2:$D$201,0))&amp;"","")</f>
        <v/>
      </c>
      <c r="S324" s="7" t="str">
        <f>IFERROR(INDEX(Modelos!$K$2:$K$301,MATCH($B324,Modelos!$C$2:$C$301,0))&amp;"","")</f>
        <v/>
      </c>
      <c r="T324" s="7" t="str">
        <f>IFERROR(INDEX(Modelos!$L$2:$L$301,MATCH($B324,Modelos!$C$2:$C$301,0))&amp;"","")</f>
        <v/>
      </c>
    </row>
    <row r="325" spans="1:20" x14ac:dyDescent="0.25">
      <c r="A325" s="5"/>
      <c r="B325" s="5"/>
      <c r="C325" s="5"/>
      <c r="D325" s="6"/>
      <c r="E325" s="5"/>
      <c r="F325" s="7" t="str">
        <f>IF(AND(A325&lt;&gt;"",B325&lt;&gt;"",C325&lt;&gt;"",D325&lt;&gt;""),LEFT(A325,2)&amp;LEFT(B325,4)&amp;LEFT(C325,2)&amp;SUBSTITUTE(UPPER(D325),"Ú","U"),"")</f>
        <v/>
      </c>
      <c r="G325" s="7" t="str">
        <f>IFERROR(INDEX(Modelos!$B$2:$B$301,MATCH($B325,Modelos!$C$2:$C$301,0))&amp;"","")</f>
        <v/>
      </c>
      <c r="H325" s="7" t="str">
        <f>IFERROR(INDEX(Modelos!$D$2:$D$301,MATCH($B325,Modelos!$C$2:$C$301,0))&amp;"","")</f>
        <v/>
      </c>
      <c r="I325" s="7" t="str">
        <f>IFERROR(INDEX(Modelos!$E$2:$E$301,MATCH($B325,Modelos!$C$2:$C$301,0))&amp;"","")</f>
        <v/>
      </c>
      <c r="J325" s="7" t="str">
        <f>IFERROR(INDEX(Modelos!$F$2:$F$301,MATCH($B325,Modelos!$C$2:$C$301,0))&amp;"","")</f>
        <v/>
      </c>
      <c r="K325" s="7" t="str">
        <f>IFERROR(INDEX(Modelos!$G$2:$G$301,MATCH($B325,Modelos!$C$2:$C$301,0))&amp;"","")</f>
        <v/>
      </c>
      <c r="L325" s="7" t="str">
        <f>IFERROR(INDEX(Diccionarios!$G$2:$G$201,MATCH($C325,Diccionarios!$H$2:$H$201,0))&amp;"","")</f>
        <v/>
      </c>
      <c r="M325" s="7" t="str">
        <f>IF(D325="","",D325&amp;"")</f>
        <v/>
      </c>
      <c r="N325" s="8" t="str">
        <f>IF($B325="","",IFERROR(INDEX(Modelos!$H$2:$H$301,MATCH($B325,Modelos!$C$2:$C$301,0)),""))</f>
        <v/>
      </c>
      <c r="O325" s="8" t="str">
        <f>IF($B325="","",IFERROR(INDEX(Modelos!$I$2:$I$301,MATCH($B325,Modelos!$C$2:$C$301,0)),""))</f>
        <v/>
      </c>
      <c r="P325" s="8" t="str">
        <f>IF($B325="","",IFERROR(INDEX(Modelos!$J$2:$J$301,MATCH($B325,Modelos!$C$2:$C$301,0)),""))</f>
        <v/>
      </c>
      <c r="Q325" s="7" t="str">
        <f>IFERROR(INDEX(Diccionarios!$B$2:$B$201,MATCH($A325,Diccionarios!$D$2:$D$201,0))&amp;"","")</f>
        <v/>
      </c>
      <c r="R325" s="7" t="str">
        <f>IFERROR(INDEX(Diccionarios!$C$2:$C$201,MATCH($A325,Diccionarios!$D$2:$D$201,0))&amp;"","")</f>
        <v/>
      </c>
      <c r="S325" s="7" t="str">
        <f>IFERROR(INDEX(Modelos!$K$2:$K$301,MATCH($B325,Modelos!$C$2:$C$301,0))&amp;"","")</f>
        <v/>
      </c>
      <c r="T325" s="7" t="str">
        <f>IFERROR(INDEX(Modelos!$L$2:$L$301,MATCH($B325,Modelos!$C$2:$C$301,0))&amp;"","")</f>
        <v/>
      </c>
    </row>
    <row r="326" spans="1:20" x14ac:dyDescent="0.25">
      <c r="A326" s="5"/>
      <c r="B326" s="5"/>
      <c r="C326" s="5"/>
      <c r="D326" s="6"/>
      <c r="E326" s="5"/>
      <c r="F326" s="7" t="str">
        <f>IF(AND(A326&lt;&gt;"",B326&lt;&gt;"",C326&lt;&gt;"",D326&lt;&gt;""),LEFT(A326,2)&amp;LEFT(B326,4)&amp;LEFT(C326,2)&amp;SUBSTITUTE(UPPER(D326),"Ú","U"),"")</f>
        <v/>
      </c>
      <c r="G326" s="7" t="str">
        <f>IFERROR(INDEX(Modelos!$B$2:$B$301,MATCH($B326,Modelos!$C$2:$C$301,0))&amp;"","")</f>
        <v/>
      </c>
      <c r="H326" s="7" t="str">
        <f>IFERROR(INDEX(Modelos!$D$2:$D$301,MATCH($B326,Modelos!$C$2:$C$301,0))&amp;"","")</f>
        <v/>
      </c>
      <c r="I326" s="7" t="str">
        <f>IFERROR(INDEX(Modelos!$E$2:$E$301,MATCH($B326,Modelos!$C$2:$C$301,0))&amp;"","")</f>
        <v/>
      </c>
      <c r="J326" s="7" t="str">
        <f>IFERROR(INDEX(Modelos!$F$2:$F$301,MATCH($B326,Modelos!$C$2:$C$301,0))&amp;"","")</f>
        <v/>
      </c>
      <c r="K326" s="7" t="str">
        <f>IFERROR(INDEX(Modelos!$G$2:$G$301,MATCH($B326,Modelos!$C$2:$C$301,0))&amp;"","")</f>
        <v/>
      </c>
      <c r="L326" s="7" t="str">
        <f>IFERROR(INDEX(Diccionarios!$G$2:$G$201,MATCH($C326,Diccionarios!$H$2:$H$201,0))&amp;"","")</f>
        <v/>
      </c>
      <c r="M326" s="7" t="str">
        <f>IF(D326="","",D326&amp;"")</f>
        <v/>
      </c>
      <c r="N326" s="8" t="str">
        <f>IF($B326="","",IFERROR(INDEX(Modelos!$H$2:$H$301,MATCH($B326,Modelos!$C$2:$C$301,0)),""))</f>
        <v/>
      </c>
      <c r="O326" s="8" t="str">
        <f>IF($B326="","",IFERROR(INDEX(Modelos!$I$2:$I$301,MATCH($B326,Modelos!$C$2:$C$301,0)),""))</f>
        <v/>
      </c>
      <c r="P326" s="8" t="str">
        <f>IF($B326="","",IFERROR(INDEX(Modelos!$J$2:$J$301,MATCH($B326,Modelos!$C$2:$C$301,0)),""))</f>
        <v/>
      </c>
      <c r="Q326" s="7" t="str">
        <f>IFERROR(INDEX(Diccionarios!$B$2:$B$201,MATCH($A326,Diccionarios!$D$2:$D$201,0))&amp;"","")</f>
        <v/>
      </c>
      <c r="R326" s="7" t="str">
        <f>IFERROR(INDEX(Diccionarios!$C$2:$C$201,MATCH($A326,Diccionarios!$D$2:$D$201,0))&amp;"","")</f>
        <v/>
      </c>
      <c r="S326" s="7" t="str">
        <f>IFERROR(INDEX(Modelos!$K$2:$K$301,MATCH($B326,Modelos!$C$2:$C$301,0))&amp;"","")</f>
        <v/>
      </c>
      <c r="T326" s="7" t="str">
        <f>IFERROR(INDEX(Modelos!$L$2:$L$301,MATCH($B326,Modelos!$C$2:$C$301,0))&amp;"","")</f>
        <v/>
      </c>
    </row>
    <row r="327" spans="1:20" x14ac:dyDescent="0.25">
      <c r="A327" s="5"/>
      <c r="B327" s="5"/>
      <c r="C327" s="5"/>
      <c r="D327" s="6"/>
      <c r="E327" s="5"/>
      <c r="F327" s="7" t="str">
        <f>IF(AND(A327&lt;&gt;"",B327&lt;&gt;"",C327&lt;&gt;"",D327&lt;&gt;""),LEFT(A327,2)&amp;LEFT(B327,4)&amp;LEFT(C327,2)&amp;SUBSTITUTE(UPPER(D327),"Ú","U"),"")</f>
        <v/>
      </c>
      <c r="G327" s="7" t="str">
        <f>IFERROR(INDEX(Modelos!$B$2:$B$301,MATCH($B327,Modelos!$C$2:$C$301,0))&amp;"","")</f>
        <v/>
      </c>
      <c r="H327" s="7" t="str">
        <f>IFERROR(INDEX(Modelos!$D$2:$D$301,MATCH($B327,Modelos!$C$2:$C$301,0))&amp;"","")</f>
        <v/>
      </c>
      <c r="I327" s="7" t="str">
        <f>IFERROR(INDEX(Modelos!$E$2:$E$301,MATCH($B327,Modelos!$C$2:$C$301,0))&amp;"","")</f>
        <v/>
      </c>
      <c r="J327" s="7" t="str">
        <f>IFERROR(INDEX(Modelos!$F$2:$F$301,MATCH($B327,Modelos!$C$2:$C$301,0))&amp;"","")</f>
        <v/>
      </c>
      <c r="K327" s="7" t="str">
        <f>IFERROR(INDEX(Modelos!$G$2:$G$301,MATCH($B327,Modelos!$C$2:$C$301,0))&amp;"","")</f>
        <v/>
      </c>
      <c r="L327" s="7" t="str">
        <f>IFERROR(INDEX(Diccionarios!$G$2:$G$201,MATCH($C327,Diccionarios!$H$2:$H$201,0))&amp;"","")</f>
        <v/>
      </c>
      <c r="M327" s="7" t="str">
        <f>IF(D327="","",D327&amp;"")</f>
        <v/>
      </c>
      <c r="N327" s="8" t="str">
        <f>IF($B327="","",IFERROR(INDEX(Modelos!$H$2:$H$301,MATCH($B327,Modelos!$C$2:$C$301,0)),""))</f>
        <v/>
      </c>
      <c r="O327" s="8" t="str">
        <f>IF($B327="","",IFERROR(INDEX(Modelos!$I$2:$I$301,MATCH($B327,Modelos!$C$2:$C$301,0)),""))</f>
        <v/>
      </c>
      <c r="P327" s="8" t="str">
        <f>IF($B327="","",IFERROR(INDEX(Modelos!$J$2:$J$301,MATCH($B327,Modelos!$C$2:$C$301,0)),""))</f>
        <v/>
      </c>
      <c r="Q327" s="7" t="str">
        <f>IFERROR(INDEX(Diccionarios!$B$2:$B$201,MATCH($A327,Diccionarios!$D$2:$D$201,0))&amp;"","")</f>
        <v/>
      </c>
      <c r="R327" s="7" t="str">
        <f>IFERROR(INDEX(Diccionarios!$C$2:$C$201,MATCH($A327,Diccionarios!$D$2:$D$201,0))&amp;"","")</f>
        <v/>
      </c>
      <c r="S327" s="7" t="str">
        <f>IFERROR(INDEX(Modelos!$K$2:$K$301,MATCH($B327,Modelos!$C$2:$C$301,0))&amp;"","")</f>
        <v/>
      </c>
      <c r="T327" s="7" t="str">
        <f>IFERROR(INDEX(Modelos!$L$2:$L$301,MATCH($B327,Modelos!$C$2:$C$301,0))&amp;"","")</f>
        <v/>
      </c>
    </row>
    <row r="328" spans="1:20" x14ac:dyDescent="0.25">
      <c r="A328" s="5"/>
      <c r="B328" s="5"/>
      <c r="C328" s="5"/>
      <c r="D328" s="6"/>
      <c r="E328" s="5"/>
      <c r="F328" s="7" t="str">
        <f>IF(AND(A328&lt;&gt;"",B328&lt;&gt;"",C328&lt;&gt;"",D328&lt;&gt;""),LEFT(A328,2)&amp;LEFT(B328,4)&amp;LEFT(C328,2)&amp;SUBSTITUTE(UPPER(D328),"Ú","U"),"")</f>
        <v/>
      </c>
      <c r="G328" s="7" t="str">
        <f>IFERROR(INDEX(Modelos!$B$2:$B$301,MATCH($B328,Modelos!$C$2:$C$301,0))&amp;"","")</f>
        <v/>
      </c>
      <c r="H328" s="7" t="str">
        <f>IFERROR(INDEX(Modelos!$D$2:$D$301,MATCH($B328,Modelos!$C$2:$C$301,0))&amp;"","")</f>
        <v/>
      </c>
      <c r="I328" s="7" t="str">
        <f>IFERROR(INDEX(Modelos!$E$2:$E$301,MATCH($B328,Modelos!$C$2:$C$301,0))&amp;"","")</f>
        <v/>
      </c>
      <c r="J328" s="7" t="str">
        <f>IFERROR(INDEX(Modelos!$F$2:$F$301,MATCH($B328,Modelos!$C$2:$C$301,0))&amp;"","")</f>
        <v/>
      </c>
      <c r="K328" s="7" t="str">
        <f>IFERROR(INDEX(Modelos!$G$2:$G$301,MATCH($B328,Modelos!$C$2:$C$301,0))&amp;"","")</f>
        <v/>
      </c>
      <c r="L328" s="7" t="str">
        <f>IFERROR(INDEX(Diccionarios!$G$2:$G$201,MATCH($C328,Diccionarios!$H$2:$H$201,0))&amp;"","")</f>
        <v/>
      </c>
      <c r="M328" s="7" t="str">
        <f>IF(D328="","",D328&amp;"")</f>
        <v/>
      </c>
      <c r="N328" s="8" t="str">
        <f>IF($B328="","",IFERROR(INDEX(Modelos!$H$2:$H$301,MATCH($B328,Modelos!$C$2:$C$301,0)),""))</f>
        <v/>
      </c>
      <c r="O328" s="8" t="str">
        <f>IF($B328="","",IFERROR(INDEX(Modelos!$I$2:$I$301,MATCH($B328,Modelos!$C$2:$C$301,0)),""))</f>
        <v/>
      </c>
      <c r="P328" s="8" t="str">
        <f>IF($B328="","",IFERROR(INDEX(Modelos!$J$2:$J$301,MATCH($B328,Modelos!$C$2:$C$301,0)),""))</f>
        <v/>
      </c>
      <c r="Q328" s="7" t="str">
        <f>IFERROR(INDEX(Diccionarios!$B$2:$B$201,MATCH($A328,Diccionarios!$D$2:$D$201,0))&amp;"","")</f>
        <v/>
      </c>
      <c r="R328" s="7" t="str">
        <f>IFERROR(INDEX(Diccionarios!$C$2:$C$201,MATCH($A328,Diccionarios!$D$2:$D$201,0))&amp;"","")</f>
        <v/>
      </c>
      <c r="S328" s="7" t="str">
        <f>IFERROR(INDEX(Modelos!$K$2:$K$301,MATCH($B328,Modelos!$C$2:$C$301,0))&amp;"","")</f>
        <v/>
      </c>
      <c r="T328" s="7" t="str">
        <f>IFERROR(INDEX(Modelos!$L$2:$L$301,MATCH($B328,Modelos!$C$2:$C$301,0))&amp;"","")</f>
        <v/>
      </c>
    </row>
    <row r="329" spans="1:20" x14ac:dyDescent="0.25">
      <c r="A329" s="5"/>
      <c r="B329" s="5"/>
      <c r="C329" s="5"/>
      <c r="D329" s="6"/>
      <c r="E329" s="5"/>
      <c r="F329" s="7" t="str">
        <f>IF(AND(A329&lt;&gt;"",B329&lt;&gt;"",C329&lt;&gt;"",D329&lt;&gt;""),LEFT(A329,2)&amp;LEFT(B329,4)&amp;LEFT(C329,2)&amp;SUBSTITUTE(UPPER(D329),"Ú","U"),"")</f>
        <v/>
      </c>
      <c r="G329" s="7" t="str">
        <f>IFERROR(INDEX(Modelos!$B$2:$B$301,MATCH($B329,Modelos!$C$2:$C$301,0))&amp;"","")</f>
        <v/>
      </c>
      <c r="H329" s="7" t="str">
        <f>IFERROR(INDEX(Modelos!$D$2:$D$301,MATCH($B329,Modelos!$C$2:$C$301,0))&amp;"","")</f>
        <v/>
      </c>
      <c r="I329" s="7" t="str">
        <f>IFERROR(INDEX(Modelos!$E$2:$E$301,MATCH($B329,Modelos!$C$2:$C$301,0))&amp;"","")</f>
        <v/>
      </c>
      <c r="J329" s="7" t="str">
        <f>IFERROR(INDEX(Modelos!$F$2:$F$301,MATCH($B329,Modelos!$C$2:$C$301,0))&amp;"","")</f>
        <v/>
      </c>
      <c r="K329" s="7" t="str">
        <f>IFERROR(INDEX(Modelos!$G$2:$G$301,MATCH($B329,Modelos!$C$2:$C$301,0))&amp;"","")</f>
        <v/>
      </c>
      <c r="L329" s="7" t="str">
        <f>IFERROR(INDEX(Diccionarios!$G$2:$G$201,MATCH($C329,Diccionarios!$H$2:$H$201,0))&amp;"","")</f>
        <v/>
      </c>
      <c r="M329" s="7" t="str">
        <f>IF(D329="","",D329&amp;"")</f>
        <v/>
      </c>
      <c r="N329" s="8" t="str">
        <f>IF($B329="","",IFERROR(INDEX(Modelos!$H$2:$H$301,MATCH($B329,Modelos!$C$2:$C$301,0)),""))</f>
        <v/>
      </c>
      <c r="O329" s="8" t="str">
        <f>IF($B329="","",IFERROR(INDEX(Modelos!$I$2:$I$301,MATCH($B329,Modelos!$C$2:$C$301,0)),""))</f>
        <v/>
      </c>
      <c r="P329" s="8" t="str">
        <f>IF($B329="","",IFERROR(INDEX(Modelos!$J$2:$J$301,MATCH($B329,Modelos!$C$2:$C$301,0)),""))</f>
        <v/>
      </c>
      <c r="Q329" s="7" t="str">
        <f>IFERROR(INDEX(Diccionarios!$B$2:$B$201,MATCH($A329,Diccionarios!$D$2:$D$201,0))&amp;"","")</f>
        <v/>
      </c>
      <c r="R329" s="7" t="str">
        <f>IFERROR(INDEX(Diccionarios!$C$2:$C$201,MATCH($A329,Diccionarios!$D$2:$D$201,0))&amp;"","")</f>
        <v/>
      </c>
      <c r="S329" s="7" t="str">
        <f>IFERROR(INDEX(Modelos!$K$2:$K$301,MATCH($B329,Modelos!$C$2:$C$301,0))&amp;"","")</f>
        <v/>
      </c>
      <c r="T329" s="7" t="str">
        <f>IFERROR(INDEX(Modelos!$L$2:$L$301,MATCH($B329,Modelos!$C$2:$C$301,0))&amp;"","")</f>
        <v/>
      </c>
    </row>
    <row r="330" spans="1:20" x14ac:dyDescent="0.25">
      <c r="A330" s="5"/>
      <c r="B330" s="5"/>
      <c r="C330" s="5"/>
      <c r="D330" s="6"/>
      <c r="E330" s="5"/>
      <c r="F330" s="7" t="str">
        <f>IF(AND(A330&lt;&gt;"",B330&lt;&gt;"",C330&lt;&gt;"",D330&lt;&gt;""),LEFT(A330,2)&amp;LEFT(B330,4)&amp;LEFT(C330,2)&amp;SUBSTITUTE(UPPER(D330),"Ú","U"),"")</f>
        <v/>
      </c>
      <c r="G330" s="7" t="str">
        <f>IFERROR(INDEX(Modelos!$B$2:$B$301,MATCH($B330,Modelos!$C$2:$C$301,0))&amp;"","")</f>
        <v/>
      </c>
      <c r="H330" s="7" t="str">
        <f>IFERROR(INDEX(Modelos!$D$2:$D$301,MATCH($B330,Modelos!$C$2:$C$301,0))&amp;"","")</f>
        <v/>
      </c>
      <c r="I330" s="7" t="str">
        <f>IFERROR(INDEX(Modelos!$E$2:$E$301,MATCH($B330,Modelos!$C$2:$C$301,0))&amp;"","")</f>
        <v/>
      </c>
      <c r="J330" s="7" t="str">
        <f>IFERROR(INDEX(Modelos!$F$2:$F$301,MATCH($B330,Modelos!$C$2:$C$301,0))&amp;"","")</f>
        <v/>
      </c>
      <c r="K330" s="7" t="str">
        <f>IFERROR(INDEX(Modelos!$G$2:$G$301,MATCH($B330,Modelos!$C$2:$C$301,0))&amp;"","")</f>
        <v/>
      </c>
      <c r="L330" s="7" t="str">
        <f>IFERROR(INDEX(Diccionarios!$G$2:$G$201,MATCH($C330,Diccionarios!$H$2:$H$201,0))&amp;"","")</f>
        <v/>
      </c>
      <c r="M330" s="7" t="str">
        <f>IF(D330="","",D330&amp;"")</f>
        <v/>
      </c>
      <c r="N330" s="8" t="str">
        <f>IF($B330="","",IFERROR(INDEX(Modelos!$H$2:$H$301,MATCH($B330,Modelos!$C$2:$C$301,0)),""))</f>
        <v/>
      </c>
      <c r="O330" s="8" t="str">
        <f>IF($B330="","",IFERROR(INDEX(Modelos!$I$2:$I$301,MATCH($B330,Modelos!$C$2:$C$301,0)),""))</f>
        <v/>
      </c>
      <c r="P330" s="8" t="str">
        <f>IF($B330="","",IFERROR(INDEX(Modelos!$J$2:$J$301,MATCH($B330,Modelos!$C$2:$C$301,0)),""))</f>
        <v/>
      </c>
      <c r="Q330" s="7" t="str">
        <f>IFERROR(INDEX(Diccionarios!$B$2:$B$201,MATCH($A330,Diccionarios!$D$2:$D$201,0))&amp;"","")</f>
        <v/>
      </c>
      <c r="R330" s="7" t="str">
        <f>IFERROR(INDEX(Diccionarios!$C$2:$C$201,MATCH($A330,Diccionarios!$D$2:$D$201,0))&amp;"","")</f>
        <v/>
      </c>
      <c r="S330" s="7" t="str">
        <f>IFERROR(INDEX(Modelos!$K$2:$K$301,MATCH($B330,Modelos!$C$2:$C$301,0))&amp;"","")</f>
        <v/>
      </c>
      <c r="T330" s="7" t="str">
        <f>IFERROR(INDEX(Modelos!$L$2:$L$301,MATCH($B330,Modelos!$C$2:$C$301,0))&amp;"","")</f>
        <v/>
      </c>
    </row>
    <row r="331" spans="1:20" x14ac:dyDescent="0.25">
      <c r="A331" s="5"/>
      <c r="B331" s="5"/>
      <c r="C331" s="5"/>
      <c r="D331" s="6"/>
      <c r="E331" s="5"/>
      <c r="F331" s="7" t="str">
        <f>IF(AND(A331&lt;&gt;"",B331&lt;&gt;"",C331&lt;&gt;"",D331&lt;&gt;""),LEFT(A331,2)&amp;LEFT(B331,4)&amp;LEFT(C331,2)&amp;SUBSTITUTE(UPPER(D331),"Ú","U"),"")</f>
        <v/>
      </c>
      <c r="G331" s="7" t="str">
        <f>IFERROR(INDEX(Modelos!$B$2:$B$301,MATCH($B331,Modelos!$C$2:$C$301,0))&amp;"","")</f>
        <v/>
      </c>
      <c r="H331" s="7" t="str">
        <f>IFERROR(INDEX(Modelos!$D$2:$D$301,MATCH($B331,Modelos!$C$2:$C$301,0))&amp;"","")</f>
        <v/>
      </c>
      <c r="I331" s="7" t="str">
        <f>IFERROR(INDEX(Modelos!$E$2:$E$301,MATCH($B331,Modelos!$C$2:$C$301,0))&amp;"","")</f>
        <v/>
      </c>
      <c r="J331" s="7" t="str">
        <f>IFERROR(INDEX(Modelos!$F$2:$F$301,MATCH($B331,Modelos!$C$2:$C$301,0))&amp;"","")</f>
        <v/>
      </c>
      <c r="K331" s="7" t="str">
        <f>IFERROR(INDEX(Modelos!$G$2:$G$301,MATCH($B331,Modelos!$C$2:$C$301,0))&amp;"","")</f>
        <v/>
      </c>
      <c r="L331" s="7" t="str">
        <f>IFERROR(INDEX(Diccionarios!$G$2:$G$201,MATCH($C331,Diccionarios!$H$2:$H$201,0))&amp;"","")</f>
        <v/>
      </c>
      <c r="M331" s="7" t="str">
        <f>IF(D331="","",D331&amp;"")</f>
        <v/>
      </c>
      <c r="N331" s="8" t="str">
        <f>IF($B331="","",IFERROR(INDEX(Modelos!$H$2:$H$301,MATCH($B331,Modelos!$C$2:$C$301,0)),""))</f>
        <v/>
      </c>
      <c r="O331" s="8" t="str">
        <f>IF($B331="","",IFERROR(INDEX(Modelos!$I$2:$I$301,MATCH($B331,Modelos!$C$2:$C$301,0)),""))</f>
        <v/>
      </c>
      <c r="P331" s="8" t="str">
        <f>IF($B331="","",IFERROR(INDEX(Modelos!$J$2:$J$301,MATCH($B331,Modelos!$C$2:$C$301,0)),""))</f>
        <v/>
      </c>
      <c r="Q331" s="7" t="str">
        <f>IFERROR(INDEX(Diccionarios!$B$2:$B$201,MATCH($A331,Diccionarios!$D$2:$D$201,0))&amp;"","")</f>
        <v/>
      </c>
      <c r="R331" s="7" t="str">
        <f>IFERROR(INDEX(Diccionarios!$C$2:$C$201,MATCH($A331,Diccionarios!$D$2:$D$201,0))&amp;"","")</f>
        <v/>
      </c>
      <c r="S331" s="7" t="str">
        <f>IFERROR(INDEX(Modelos!$K$2:$K$301,MATCH($B331,Modelos!$C$2:$C$301,0))&amp;"","")</f>
        <v/>
      </c>
      <c r="T331" s="7" t="str">
        <f>IFERROR(INDEX(Modelos!$L$2:$L$301,MATCH($B331,Modelos!$C$2:$C$301,0))&amp;"","")</f>
        <v/>
      </c>
    </row>
    <row r="332" spans="1:20" x14ac:dyDescent="0.25">
      <c r="A332" s="5"/>
      <c r="B332" s="5"/>
      <c r="C332" s="5"/>
      <c r="D332" s="6"/>
      <c r="E332" s="5"/>
      <c r="F332" s="7" t="str">
        <f>IF(AND(A332&lt;&gt;"",B332&lt;&gt;"",C332&lt;&gt;"",D332&lt;&gt;""),LEFT(A332,2)&amp;LEFT(B332,4)&amp;LEFT(C332,2)&amp;SUBSTITUTE(UPPER(D332),"Ú","U"),"")</f>
        <v/>
      </c>
      <c r="G332" s="7" t="str">
        <f>IFERROR(INDEX(Modelos!$B$2:$B$301,MATCH($B332,Modelos!$C$2:$C$301,0))&amp;"","")</f>
        <v/>
      </c>
      <c r="H332" s="7" t="str">
        <f>IFERROR(INDEX(Modelos!$D$2:$D$301,MATCH($B332,Modelos!$C$2:$C$301,0))&amp;"","")</f>
        <v/>
      </c>
      <c r="I332" s="7" t="str">
        <f>IFERROR(INDEX(Modelos!$E$2:$E$301,MATCH($B332,Modelos!$C$2:$C$301,0))&amp;"","")</f>
        <v/>
      </c>
      <c r="J332" s="7" t="str">
        <f>IFERROR(INDEX(Modelos!$F$2:$F$301,MATCH($B332,Modelos!$C$2:$C$301,0))&amp;"","")</f>
        <v/>
      </c>
      <c r="K332" s="7" t="str">
        <f>IFERROR(INDEX(Modelos!$G$2:$G$301,MATCH($B332,Modelos!$C$2:$C$301,0))&amp;"","")</f>
        <v/>
      </c>
      <c r="L332" s="7" t="str">
        <f>IFERROR(INDEX(Diccionarios!$G$2:$G$201,MATCH($C332,Diccionarios!$H$2:$H$201,0))&amp;"","")</f>
        <v/>
      </c>
      <c r="M332" s="7" t="str">
        <f>IF(D332="","",D332&amp;"")</f>
        <v/>
      </c>
      <c r="N332" s="8" t="str">
        <f>IF($B332="","",IFERROR(INDEX(Modelos!$H$2:$H$301,MATCH($B332,Modelos!$C$2:$C$301,0)),""))</f>
        <v/>
      </c>
      <c r="O332" s="8" t="str">
        <f>IF($B332="","",IFERROR(INDEX(Modelos!$I$2:$I$301,MATCH($B332,Modelos!$C$2:$C$301,0)),""))</f>
        <v/>
      </c>
      <c r="P332" s="8" t="str">
        <f>IF($B332="","",IFERROR(INDEX(Modelos!$J$2:$J$301,MATCH($B332,Modelos!$C$2:$C$301,0)),""))</f>
        <v/>
      </c>
      <c r="Q332" s="7" t="str">
        <f>IFERROR(INDEX(Diccionarios!$B$2:$B$201,MATCH($A332,Diccionarios!$D$2:$D$201,0))&amp;"","")</f>
        <v/>
      </c>
      <c r="R332" s="7" t="str">
        <f>IFERROR(INDEX(Diccionarios!$C$2:$C$201,MATCH($A332,Diccionarios!$D$2:$D$201,0))&amp;"","")</f>
        <v/>
      </c>
      <c r="S332" s="7" t="str">
        <f>IFERROR(INDEX(Modelos!$K$2:$K$301,MATCH($B332,Modelos!$C$2:$C$301,0))&amp;"","")</f>
        <v/>
      </c>
      <c r="T332" s="7" t="str">
        <f>IFERROR(INDEX(Modelos!$L$2:$L$301,MATCH($B332,Modelos!$C$2:$C$301,0))&amp;"","")</f>
        <v/>
      </c>
    </row>
    <row r="333" spans="1:20" x14ac:dyDescent="0.25">
      <c r="A333" s="5"/>
      <c r="B333" s="5"/>
      <c r="C333" s="5"/>
      <c r="D333" s="6"/>
      <c r="E333" s="5"/>
      <c r="F333" s="7" t="str">
        <f>IF(AND(A333&lt;&gt;"",B333&lt;&gt;"",C333&lt;&gt;"",D333&lt;&gt;""),LEFT(A333,2)&amp;LEFT(B333,4)&amp;LEFT(C333,2)&amp;SUBSTITUTE(UPPER(D333),"Ú","U"),"")</f>
        <v/>
      </c>
      <c r="G333" s="7" t="str">
        <f>IFERROR(INDEX(Modelos!$B$2:$B$301,MATCH($B333,Modelos!$C$2:$C$301,0))&amp;"","")</f>
        <v/>
      </c>
      <c r="H333" s="7" t="str">
        <f>IFERROR(INDEX(Modelos!$D$2:$D$301,MATCH($B333,Modelos!$C$2:$C$301,0))&amp;"","")</f>
        <v/>
      </c>
      <c r="I333" s="7" t="str">
        <f>IFERROR(INDEX(Modelos!$E$2:$E$301,MATCH($B333,Modelos!$C$2:$C$301,0))&amp;"","")</f>
        <v/>
      </c>
      <c r="J333" s="7" t="str">
        <f>IFERROR(INDEX(Modelos!$F$2:$F$301,MATCH($B333,Modelos!$C$2:$C$301,0))&amp;"","")</f>
        <v/>
      </c>
      <c r="K333" s="7" t="str">
        <f>IFERROR(INDEX(Modelos!$G$2:$G$301,MATCH($B333,Modelos!$C$2:$C$301,0))&amp;"","")</f>
        <v/>
      </c>
      <c r="L333" s="7" t="str">
        <f>IFERROR(INDEX(Diccionarios!$G$2:$G$201,MATCH($C333,Diccionarios!$H$2:$H$201,0))&amp;"","")</f>
        <v/>
      </c>
      <c r="M333" s="7" t="str">
        <f>IF(D333="","",D333&amp;"")</f>
        <v/>
      </c>
      <c r="N333" s="8" t="str">
        <f>IF($B333="","",IFERROR(INDEX(Modelos!$H$2:$H$301,MATCH($B333,Modelos!$C$2:$C$301,0)),""))</f>
        <v/>
      </c>
      <c r="O333" s="8" t="str">
        <f>IF($B333="","",IFERROR(INDEX(Modelos!$I$2:$I$301,MATCH($B333,Modelos!$C$2:$C$301,0)),""))</f>
        <v/>
      </c>
      <c r="P333" s="8" t="str">
        <f>IF($B333="","",IFERROR(INDEX(Modelos!$J$2:$J$301,MATCH($B333,Modelos!$C$2:$C$301,0)),""))</f>
        <v/>
      </c>
      <c r="Q333" s="7" t="str">
        <f>IFERROR(INDEX(Diccionarios!$B$2:$B$201,MATCH($A333,Diccionarios!$D$2:$D$201,0))&amp;"","")</f>
        <v/>
      </c>
      <c r="R333" s="7" t="str">
        <f>IFERROR(INDEX(Diccionarios!$C$2:$C$201,MATCH($A333,Diccionarios!$D$2:$D$201,0))&amp;"","")</f>
        <v/>
      </c>
      <c r="S333" s="7" t="str">
        <f>IFERROR(INDEX(Modelos!$K$2:$K$301,MATCH($B333,Modelos!$C$2:$C$301,0))&amp;"","")</f>
        <v/>
      </c>
      <c r="T333" s="7" t="str">
        <f>IFERROR(INDEX(Modelos!$L$2:$L$301,MATCH($B333,Modelos!$C$2:$C$301,0))&amp;"","")</f>
        <v/>
      </c>
    </row>
    <row r="334" spans="1:20" x14ac:dyDescent="0.25">
      <c r="A334" s="5"/>
      <c r="B334" s="5"/>
      <c r="C334" s="5"/>
      <c r="D334" s="6"/>
      <c r="E334" s="5"/>
      <c r="F334" s="7" t="str">
        <f>IF(AND(A334&lt;&gt;"",B334&lt;&gt;"",C334&lt;&gt;"",D334&lt;&gt;""),LEFT(A334,2)&amp;LEFT(B334,4)&amp;LEFT(C334,2)&amp;SUBSTITUTE(UPPER(D334),"Ú","U"),"")</f>
        <v/>
      </c>
      <c r="G334" s="7" t="str">
        <f>IFERROR(INDEX(Modelos!$B$2:$B$301,MATCH($B334,Modelos!$C$2:$C$301,0))&amp;"","")</f>
        <v/>
      </c>
      <c r="H334" s="7" t="str">
        <f>IFERROR(INDEX(Modelos!$D$2:$D$301,MATCH($B334,Modelos!$C$2:$C$301,0))&amp;"","")</f>
        <v/>
      </c>
      <c r="I334" s="7" t="str">
        <f>IFERROR(INDEX(Modelos!$E$2:$E$301,MATCH($B334,Modelos!$C$2:$C$301,0))&amp;"","")</f>
        <v/>
      </c>
      <c r="J334" s="7" t="str">
        <f>IFERROR(INDEX(Modelos!$F$2:$F$301,MATCH($B334,Modelos!$C$2:$C$301,0))&amp;"","")</f>
        <v/>
      </c>
      <c r="K334" s="7" t="str">
        <f>IFERROR(INDEX(Modelos!$G$2:$G$301,MATCH($B334,Modelos!$C$2:$C$301,0))&amp;"","")</f>
        <v/>
      </c>
      <c r="L334" s="7" t="str">
        <f>IFERROR(INDEX(Diccionarios!$G$2:$G$201,MATCH($C334,Diccionarios!$H$2:$H$201,0))&amp;"","")</f>
        <v/>
      </c>
      <c r="M334" s="7" t="str">
        <f>IF(D334="","",D334&amp;"")</f>
        <v/>
      </c>
      <c r="N334" s="8" t="str">
        <f>IF($B334="","",IFERROR(INDEX(Modelos!$H$2:$H$301,MATCH($B334,Modelos!$C$2:$C$301,0)),""))</f>
        <v/>
      </c>
      <c r="O334" s="8" t="str">
        <f>IF($B334="","",IFERROR(INDEX(Modelos!$I$2:$I$301,MATCH($B334,Modelos!$C$2:$C$301,0)),""))</f>
        <v/>
      </c>
      <c r="P334" s="8" t="str">
        <f>IF($B334="","",IFERROR(INDEX(Modelos!$J$2:$J$301,MATCH($B334,Modelos!$C$2:$C$301,0)),""))</f>
        <v/>
      </c>
      <c r="Q334" s="7" t="str">
        <f>IFERROR(INDEX(Diccionarios!$B$2:$B$201,MATCH($A334,Diccionarios!$D$2:$D$201,0))&amp;"","")</f>
        <v/>
      </c>
      <c r="R334" s="7" t="str">
        <f>IFERROR(INDEX(Diccionarios!$C$2:$C$201,MATCH($A334,Diccionarios!$D$2:$D$201,0))&amp;"","")</f>
        <v/>
      </c>
      <c r="S334" s="7" t="str">
        <f>IFERROR(INDEX(Modelos!$K$2:$K$301,MATCH($B334,Modelos!$C$2:$C$301,0))&amp;"","")</f>
        <v/>
      </c>
      <c r="T334" s="7" t="str">
        <f>IFERROR(INDEX(Modelos!$L$2:$L$301,MATCH($B334,Modelos!$C$2:$C$301,0))&amp;"","")</f>
        <v/>
      </c>
    </row>
    <row r="335" spans="1:20" x14ac:dyDescent="0.25">
      <c r="A335" s="5"/>
      <c r="B335" s="5"/>
      <c r="C335" s="5"/>
      <c r="D335" s="6"/>
      <c r="E335" s="5"/>
      <c r="F335" s="7" t="str">
        <f>IF(AND(A335&lt;&gt;"",B335&lt;&gt;"",C335&lt;&gt;"",D335&lt;&gt;""),LEFT(A335,2)&amp;LEFT(B335,4)&amp;LEFT(C335,2)&amp;SUBSTITUTE(UPPER(D335),"Ú","U"),"")</f>
        <v/>
      </c>
      <c r="G335" s="7" t="str">
        <f>IFERROR(INDEX(Modelos!$B$2:$B$301,MATCH($B335,Modelos!$C$2:$C$301,0))&amp;"","")</f>
        <v/>
      </c>
      <c r="H335" s="7" t="str">
        <f>IFERROR(INDEX(Modelos!$D$2:$D$301,MATCH($B335,Modelos!$C$2:$C$301,0))&amp;"","")</f>
        <v/>
      </c>
      <c r="I335" s="7" t="str">
        <f>IFERROR(INDEX(Modelos!$E$2:$E$301,MATCH($B335,Modelos!$C$2:$C$301,0))&amp;"","")</f>
        <v/>
      </c>
      <c r="J335" s="7" t="str">
        <f>IFERROR(INDEX(Modelos!$F$2:$F$301,MATCH($B335,Modelos!$C$2:$C$301,0))&amp;"","")</f>
        <v/>
      </c>
      <c r="K335" s="7" t="str">
        <f>IFERROR(INDEX(Modelos!$G$2:$G$301,MATCH($B335,Modelos!$C$2:$C$301,0))&amp;"","")</f>
        <v/>
      </c>
      <c r="L335" s="7" t="str">
        <f>IFERROR(INDEX(Diccionarios!$G$2:$G$201,MATCH($C335,Diccionarios!$H$2:$H$201,0))&amp;"","")</f>
        <v/>
      </c>
      <c r="M335" s="7" t="str">
        <f>IF(D335="","",D335&amp;"")</f>
        <v/>
      </c>
      <c r="N335" s="8" t="str">
        <f>IF($B335="","",IFERROR(INDEX(Modelos!$H$2:$H$301,MATCH($B335,Modelos!$C$2:$C$301,0)),""))</f>
        <v/>
      </c>
      <c r="O335" s="8" t="str">
        <f>IF($B335="","",IFERROR(INDEX(Modelos!$I$2:$I$301,MATCH($B335,Modelos!$C$2:$C$301,0)),""))</f>
        <v/>
      </c>
      <c r="P335" s="8" t="str">
        <f>IF($B335="","",IFERROR(INDEX(Modelos!$J$2:$J$301,MATCH($B335,Modelos!$C$2:$C$301,0)),""))</f>
        <v/>
      </c>
      <c r="Q335" s="7" t="str">
        <f>IFERROR(INDEX(Diccionarios!$B$2:$B$201,MATCH($A335,Diccionarios!$D$2:$D$201,0))&amp;"","")</f>
        <v/>
      </c>
      <c r="R335" s="7" t="str">
        <f>IFERROR(INDEX(Diccionarios!$C$2:$C$201,MATCH($A335,Diccionarios!$D$2:$D$201,0))&amp;"","")</f>
        <v/>
      </c>
      <c r="S335" s="7" t="str">
        <f>IFERROR(INDEX(Modelos!$K$2:$K$301,MATCH($B335,Modelos!$C$2:$C$301,0))&amp;"","")</f>
        <v/>
      </c>
      <c r="T335" s="7" t="str">
        <f>IFERROR(INDEX(Modelos!$L$2:$L$301,MATCH($B335,Modelos!$C$2:$C$301,0))&amp;"","")</f>
        <v/>
      </c>
    </row>
    <row r="336" spans="1:20" x14ac:dyDescent="0.25">
      <c r="A336" s="5"/>
      <c r="B336" s="5"/>
      <c r="C336" s="5"/>
      <c r="D336" s="6"/>
      <c r="E336" s="5"/>
      <c r="F336" s="7" t="str">
        <f>IF(AND(A336&lt;&gt;"",B336&lt;&gt;"",C336&lt;&gt;"",D336&lt;&gt;""),LEFT(A336,2)&amp;LEFT(B336,4)&amp;LEFT(C336,2)&amp;SUBSTITUTE(UPPER(D336),"Ú","U"),"")</f>
        <v/>
      </c>
      <c r="G336" s="7" t="str">
        <f>IFERROR(INDEX(Modelos!$B$2:$B$301,MATCH($B336,Modelos!$C$2:$C$301,0))&amp;"","")</f>
        <v/>
      </c>
      <c r="H336" s="7" t="str">
        <f>IFERROR(INDEX(Modelos!$D$2:$D$301,MATCH($B336,Modelos!$C$2:$C$301,0))&amp;"","")</f>
        <v/>
      </c>
      <c r="I336" s="7" t="str">
        <f>IFERROR(INDEX(Modelos!$E$2:$E$301,MATCH($B336,Modelos!$C$2:$C$301,0))&amp;"","")</f>
        <v/>
      </c>
      <c r="J336" s="7" t="str">
        <f>IFERROR(INDEX(Modelos!$F$2:$F$301,MATCH($B336,Modelos!$C$2:$C$301,0))&amp;"","")</f>
        <v/>
      </c>
      <c r="K336" s="7" t="str">
        <f>IFERROR(INDEX(Modelos!$G$2:$G$301,MATCH($B336,Modelos!$C$2:$C$301,0))&amp;"","")</f>
        <v/>
      </c>
      <c r="L336" s="7" t="str">
        <f>IFERROR(INDEX(Diccionarios!$G$2:$G$201,MATCH($C336,Diccionarios!$H$2:$H$201,0))&amp;"","")</f>
        <v/>
      </c>
      <c r="M336" s="7" t="str">
        <f>IF(D336="","",D336&amp;"")</f>
        <v/>
      </c>
      <c r="N336" s="8" t="str">
        <f>IF($B336="","",IFERROR(INDEX(Modelos!$H$2:$H$301,MATCH($B336,Modelos!$C$2:$C$301,0)),""))</f>
        <v/>
      </c>
      <c r="O336" s="8" t="str">
        <f>IF($B336="","",IFERROR(INDEX(Modelos!$I$2:$I$301,MATCH($B336,Modelos!$C$2:$C$301,0)),""))</f>
        <v/>
      </c>
      <c r="P336" s="8" t="str">
        <f>IF($B336="","",IFERROR(INDEX(Modelos!$J$2:$J$301,MATCH($B336,Modelos!$C$2:$C$301,0)),""))</f>
        <v/>
      </c>
      <c r="Q336" s="7" t="str">
        <f>IFERROR(INDEX(Diccionarios!$B$2:$B$201,MATCH($A336,Diccionarios!$D$2:$D$201,0))&amp;"","")</f>
        <v/>
      </c>
      <c r="R336" s="7" t="str">
        <f>IFERROR(INDEX(Diccionarios!$C$2:$C$201,MATCH($A336,Diccionarios!$D$2:$D$201,0))&amp;"","")</f>
        <v/>
      </c>
      <c r="S336" s="7" t="str">
        <f>IFERROR(INDEX(Modelos!$K$2:$K$301,MATCH($B336,Modelos!$C$2:$C$301,0))&amp;"","")</f>
        <v/>
      </c>
      <c r="T336" s="7" t="str">
        <f>IFERROR(INDEX(Modelos!$L$2:$L$301,MATCH($B336,Modelos!$C$2:$C$301,0))&amp;"","")</f>
        <v/>
      </c>
    </row>
    <row r="337" spans="1:20" x14ac:dyDescent="0.25">
      <c r="A337" s="5"/>
      <c r="B337" s="5"/>
      <c r="C337" s="5"/>
      <c r="D337" s="6"/>
      <c r="E337" s="5"/>
      <c r="F337" s="7" t="str">
        <f>IF(AND(A337&lt;&gt;"",B337&lt;&gt;"",C337&lt;&gt;"",D337&lt;&gt;""),LEFT(A337,2)&amp;LEFT(B337,4)&amp;LEFT(C337,2)&amp;SUBSTITUTE(UPPER(D337),"Ú","U"),"")</f>
        <v/>
      </c>
      <c r="G337" s="7" t="str">
        <f>IFERROR(INDEX(Modelos!$B$2:$B$301,MATCH($B337,Modelos!$C$2:$C$301,0))&amp;"","")</f>
        <v/>
      </c>
      <c r="H337" s="7" t="str">
        <f>IFERROR(INDEX(Modelos!$D$2:$D$301,MATCH($B337,Modelos!$C$2:$C$301,0))&amp;"","")</f>
        <v/>
      </c>
      <c r="I337" s="7" t="str">
        <f>IFERROR(INDEX(Modelos!$E$2:$E$301,MATCH($B337,Modelos!$C$2:$C$301,0))&amp;"","")</f>
        <v/>
      </c>
      <c r="J337" s="7" t="str">
        <f>IFERROR(INDEX(Modelos!$F$2:$F$301,MATCH($B337,Modelos!$C$2:$C$301,0))&amp;"","")</f>
        <v/>
      </c>
      <c r="K337" s="7" t="str">
        <f>IFERROR(INDEX(Modelos!$G$2:$G$301,MATCH($B337,Modelos!$C$2:$C$301,0))&amp;"","")</f>
        <v/>
      </c>
      <c r="L337" s="7" t="str">
        <f>IFERROR(INDEX(Diccionarios!$G$2:$G$201,MATCH($C337,Diccionarios!$H$2:$H$201,0))&amp;"","")</f>
        <v/>
      </c>
      <c r="M337" s="7" t="str">
        <f>IF(D337="","",D337&amp;"")</f>
        <v/>
      </c>
      <c r="N337" s="8" t="str">
        <f>IF($B337="","",IFERROR(INDEX(Modelos!$H$2:$H$301,MATCH($B337,Modelos!$C$2:$C$301,0)),""))</f>
        <v/>
      </c>
      <c r="O337" s="8" t="str">
        <f>IF($B337="","",IFERROR(INDEX(Modelos!$I$2:$I$301,MATCH($B337,Modelos!$C$2:$C$301,0)),""))</f>
        <v/>
      </c>
      <c r="P337" s="8" t="str">
        <f>IF($B337="","",IFERROR(INDEX(Modelos!$J$2:$J$301,MATCH($B337,Modelos!$C$2:$C$301,0)),""))</f>
        <v/>
      </c>
      <c r="Q337" s="7" t="str">
        <f>IFERROR(INDEX(Diccionarios!$B$2:$B$201,MATCH($A337,Diccionarios!$D$2:$D$201,0))&amp;"","")</f>
        <v/>
      </c>
      <c r="R337" s="7" t="str">
        <f>IFERROR(INDEX(Diccionarios!$C$2:$C$201,MATCH($A337,Diccionarios!$D$2:$D$201,0))&amp;"","")</f>
        <v/>
      </c>
      <c r="S337" s="7" t="str">
        <f>IFERROR(INDEX(Modelos!$K$2:$K$301,MATCH($B337,Modelos!$C$2:$C$301,0))&amp;"","")</f>
        <v/>
      </c>
      <c r="T337" s="7" t="str">
        <f>IFERROR(INDEX(Modelos!$L$2:$L$301,MATCH($B337,Modelos!$C$2:$C$301,0))&amp;"","")</f>
        <v/>
      </c>
    </row>
    <row r="338" spans="1:20" x14ac:dyDescent="0.25">
      <c r="A338" s="5"/>
      <c r="B338" s="5"/>
      <c r="C338" s="5"/>
      <c r="D338" s="6"/>
      <c r="E338" s="5"/>
      <c r="F338" s="7" t="str">
        <f>IF(AND(A338&lt;&gt;"",B338&lt;&gt;"",C338&lt;&gt;"",D338&lt;&gt;""),LEFT(A338,2)&amp;LEFT(B338,4)&amp;LEFT(C338,2)&amp;SUBSTITUTE(UPPER(D338),"Ú","U"),"")</f>
        <v/>
      </c>
      <c r="G338" s="7" t="str">
        <f>IFERROR(INDEX(Modelos!$B$2:$B$301,MATCH($B338,Modelos!$C$2:$C$301,0))&amp;"","")</f>
        <v/>
      </c>
      <c r="H338" s="7" t="str">
        <f>IFERROR(INDEX(Modelos!$D$2:$D$301,MATCH($B338,Modelos!$C$2:$C$301,0))&amp;"","")</f>
        <v/>
      </c>
      <c r="I338" s="7" t="str">
        <f>IFERROR(INDEX(Modelos!$E$2:$E$301,MATCH($B338,Modelos!$C$2:$C$301,0))&amp;"","")</f>
        <v/>
      </c>
      <c r="J338" s="7" t="str">
        <f>IFERROR(INDEX(Modelos!$F$2:$F$301,MATCH($B338,Modelos!$C$2:$C$301,0))&amp;"","")</f>
        <v/>
      </c>
      <c r="K338" s="7" t="str">
        <f>IFERROR(INDEX(Modelos!$G$2:$G$301,MATCH($B338,Modelos!$C$2:$C$301,0))&amp;"","")</f>
        <v/>
      </c>
      <c r="L338" s="7" t="str">
        <f>IFERROR(INDEX(Diccionarios!$G$2:$G$201,MATCH($C338,Diccionarios!$H$2:$H$201,0))&amp;"","")</f>
        <v/>
      </c>
      <c r="M338" s="7" t="str">
        <f>IF(D338="","",D338&amp;"")</f>
        <v/>
      </c>
      <c r="N338" s="8" t="str">
        <f>IF($B338="","",IFERROR(INDEX(Modelos!$H$2:$H$301,MATCH($B338,Modelos!$C$2:$C$301,0)),""))</f>
        <v/>
      </c>
      <c r="O338" s="8" t="str">
        <f>IF($B338="","",IFERROR(INDEX(Modelos!$I$2:$I$301,MATCH($B338,Modelos!$C$2:$C$301,0)),""))</f>
        <v/>
      </c>
      <c r="P338" s="8" t="str">
        <f>IF($B338="","",IFERROR(INDEX(Modelos!$J$2:$J$301,MATCH($B338,Modelos!$C$2:$C$301,0)),""))</f>
        <v/>
      </c>
      <c r="Q338" s="7" t="str">
        <f>IFERROR(INDEX(Diccionarios!$B$2:$B$201,MATCH($A338,Diccionarios!$D$2:$D$201,0))&amp;"","")</f>
        <v/>
      </c>
      <c r="R338" s="7" t="str">
        <f>IFERROR(INDEX(Diccionarios!$C$2:$C$201,MATCH($A338,Diccionarios!$D$2:$D$201,0))&amp;"","")</f>
        <v/>
      </c>
      <c r="S338" s="7" t="str">
        <f>IFERROR(INDEX(Modelos!$K$2:$K$301,MATCH($B338,Modelos!$C$2:$C$301,0))&amp;"","")</f>
        <v/>
      </c>
      <c r="T338" s="7" t="str">
        <f>IFERROR(INDEX(Modelos!$L$2:$L$301,MATCH($B338,Modelos!$C$2:$C$301,0))&amp;"","")</f>
        <v/>
      </c>
    </row>
    <row r="339" spans="1:20" x14ac:dyDescent="0.25">
      <c r="A339" s="5"/>
      <c r="B339" s="5"/>
      <c r="C339" s="5"/>
      <c r="D339" s="6"/>
      <c r="E339" s="5"/>
      <c r="F339" s="7" t="str">
        <f>IF(AND(A339&lt;&gt;"",B339&lt;&gt;"",C339&lt;&gt;"",D339&lt;&gt;""),LEFT(A339,2)&amp;LEFT(B339,4)&amp;LEFT(C339,2)&amp;SUBSTITUTE(UPPER(D339),"Ú","U"),"")</f>
        <v/>
      </c>
      <c r="G339" s="7" t="str">
        <f>IFERROR(INDEX(Modelos!$B$2:$B$301,MATCH($B339,Modelos!$C$2:$C$301,0))&amp;"","")</f>
        <v/>
      </c>
      <c r="H339" s="7" t="str">
        <f>IFERROR(INDEX(Modelos!$D$2:$D$301,MATCH($B339,Modelos!$C$2:$C$301,0))&amp;"","")</f>
        <v/>
      </c>
      <c r="I339" s="7" t="str">
        <f>IFERROR(INDEX(Modelos!$E$2:$E$301,MATCH($B339,Modelos!$C$2:$C$301,0))&amp;"","")</f>
        <v/>
      </c>
      <c r="J339" s="7" t="str">
        <f>IFERROR(INDEX(Modelos!$F$2:$F$301,MATCH($B339,Modelos!$C$2:$C$301,0))&amp;"","")</f>
        <v/>
      </c>
      <c r="K339" s="7" t="str">
        <f>IFERROR(INDEX(Modelos!$G$2:$G$301,MATCH($B339,Modelos!$C$2:$C$301,0))&amp;"","")</f>
        <v/>
      </c>
      <c r="L339" s="7" t="str">
        <f>IFERROR(INDEX(Diccionarios!$G$2:$G$201,MATCH($C339,Diccionarios!$H$2:$H$201,0))&amp;"","")</f>
        <v/>
      </c>
      <c r="M339" s="7" t="str">
        <f>IF(D339="","",D339&amp;"")</f>
        <v/>
      </c>
      <c r="N339" s="8" t="str">
        <f>IF($B339="","",IFERROR(INDEX(Modelos!$H$2:$H$301,MATCH($B339,Modelos!$C$2:$C$301,0)),""))</f>
        <v/>
      </c>
      <c r="O339" s="8" t="str">
        <f>IF($B339="","",IFERROR(INDEX(Modelos!$I$2:$I$301,MATCH($B339,Modelos!$C$2:$C$301,0)),""))</f>
        <v/>
      </c>
      <c r="P339" s="8" t="str">
        <f>IF($B339="","",IFERROR(INDEX(Modelos!$J$2:$J$301,MATCH($B339,Modelos!$C$2:$C$301,0)),""))</f>
        <v/>
      </c>
      <c r="Q339" s="7" t="str">
        <f>IFERROR(INDEX(Diccionarios!$B$2:$B$201,MATCH($A339,Diccionarios!$D$2:$D$201,0))&amp;"","")</f>
        <v/>
      </c>
      <c r="R339" s="7" t="str">
        <f>IFERROR(INDEX(Diccionarios!$C$2:$C$201,MATCH($A339,Diccionarios!$D$2:$D$201,0))&amp;"","")</f>
        <v/>
      </c>
      <c r="S339" s="7" t="str">
        <f>IFERROR(INDEX(Modelos!$K$2:$K$301,MATCH($B339,Modelos!$C$2:$C$301,0))&amp;"","")</f>
        <v/>
      </c>
      <c r="T339" s="7" t="str">
        <f>IFERROR(INDEX(Modelos!$L$2:$L$301,MATCH($B339,Modelos!$C$2:$C$301,0))&amp;"","")</f>
        <v/>
      </c>
    </row>
    <row r="340" spans="1:20" x14ac:dyDescent="0.25">
      <c r="A340" s="5"/>
      <c r="B340" s="5"/>
      <c r="C340" s="5"/>
      <c r="D340" s="6"/>
      <c r="E340" s="5"/>
      <c r="F340" s="7" t="str">
        <f>IF(AND(A340&lt;&gt;"",B340&lt;&gt;"",C340&lt;&gt;"",D340&lt;&gt;""),LEFT(A340,2)&amp;LEFT(B340,4)&amp;LEFT(C340,2)&amp;SUBSTITUTE(UPPER(D340),"Ú","U"),"")</f>
        <v/>
      </c>
      <c r="G340" s="7" t="str">
        <f>IFERROR(INDEX(Modelos!$B$2:$B$301,MATCH($B340,Modelos!$C$2:$C$301,0))&amp;"","")</f>
        <v/>
      </c>
      <c r="H340" s="7" t="str">
        <f>IFERROR(INDEX(Modelos!$D$2:$D$301,MATCH($B340,Modelos!$C$2:$C$301,0))&amp;"","")</f>
        <v/>
      </c>
      <c r="I340" s="7" t="str">
        <f>IFERROR(INDEX(Modelos!$E$2:$E$301,MATCH($B340,Modelos!$C$2:$C$301,0))&amp;"","")</f>
        <v/>
      </c>
      <c r="J340" s="7" t="str">
        <f>IFERROR(INDEX(Modelos!$F$2:$F$301,MATCH($B340,Modelos!$C$2:$C$301,0))&amp;"","")</f>
        <v/>
      </c>
      <c r="K340" s="7" t="str">
        <f>IFERROR(INDEX(Modelos!$G$2:$G$301,MATCH($B340,Modelos!$C$2:$C$301,0))&amp;"","")</f>
        <v/>
      </c>
      <c r="L340" s="7" t="str">
        <f>IFERROR(INDEX(Diccionarios!$G$2:$G$201,MATCH($C340,Diccionarios!$H$2:$H$201,0))&amp;"","")</f>
        <v/>
      </c>
      <c r="M340" s="7" t="str">
        <f>IF(D340="","",D340&amp;"")</f>
        <v/>
      </c>
      <c r="N340" s="8" t="str">
        <f>IF($B340="","",IFERROR(INDEX(Modelos!$H$2:$H$301,MATCH($B340,Modelos!$C$2:$C$301,0)),""))</f>
        <v/>
      </c>
      <c r="O340" s="8" t="str">
        <f>IF($B340="","",IFERROR(INDEX(Modelos!$I$2:$I$301,MATCH($B340,Modelos!$C$2:$C$301,0)),""))</f>
        <v/>
      </c>
      <c r="P340" s="8" t="str">
        <f>IF($B340="","",IFERROR(INDEX(Modelos!$J$2:$J$301,MATCH($B340,Modelos!$C$2:$C$301,0)),""))</f>
        <v/>
      </c>
      <c r="Q340" s="7" t="str">
        <f>IFERROR(INDEX(Diccionarios!$B$2:$B$201,MATCH($A340,Diccionarios!$D$2:$D$201,0))&amp;"","")</f>
        <v/>
      </c>
      <c r="R340" s="7" t="str">
        <f>IFERROR(INDEX(Diccionarios!$C$2:$C$201,MATCH($A340,Diccionarios!$D$2:$D$201,0))&amp;"","")</f>
        <v/>
      </c>
      <c r="S340" s="7" t="str">
        <f>IFERROR(INDEX(Modelos!$K$2:$K$301,MATCH($B340,Modelos!$C$2:$C$301,0))&amp;"","")</f>
        <v/>
      </c>
      <c r="T340" s="7" t="str">
        <f>IFERROR(INDEX(Modelos!$L$2:$L$301,MATCH($B340,Modelos!$C$2:$C$301,0))&amp;"","")</f>
        <v/>
      </c>
    </row>
    <row r="341" spans="1:20" x14ac:dyDescent="0.25">
      <c r="A341" s="5"/>
      <c r="B341" s="5"/>
      <c r="C341" s="5"/>
      <c r="D341" s="6"/>
      <c r="E341" s="5"/>
      <c r="F341" s="7" t="str">
        <f>IF(AND(A341&lt;&gt;"",B341&lt;&gt;"",C341&lt;&gt;"",D341&lt;&gt;""),LEFT(A341,2)&amp;LEFT(B341,4)&amp;LEFT(C341,2)&amp;SUBSTITUTE(UPPER(D341),"Ú","U"),"")</f>
        <v/>
      </c>
      <c r="G341" s="7" t="str">
        <f>IFERROR(INDEX(Modelos!$B$2:$B$301,MATCH($B341,Modelos!$C$2:$C$301,0))&amp;"","")</f>
        <v/>
      </c>
      <c r="H341" s="7" t="str">
        <f>IFERROR(INDEX(Modelos!$D$2:$D$301,MATCH($B341,Modelos!$C$2:$C$301,0))&amp;"","")</f>
        <v/>
      </c>
      <c r="I341" s="7" t="str">
        <f>IFERROR(INDEX(Modelos!$E$2:$E$301,MATCH($B341,Modelos!$C$2:$C$301,0))&amp;"","")</f>
        <v/>
      </c>
      <c r="J341" s="7" t="str">
        <f>IFERROR(INDEX(Modelos!$F$2:$F$301,MATCH($B341,Modelos!$C$2:$C$301,0))&amp;"","")</f>
        <v/>
      </c>
      <c r="K341" s="7" t="str">
        <f>IFERROR(INDEX(Modelos!$G$2:$G$301,MATCH($B341,Modelos!$C$2:$C$301,0))&amp;"","")</f>
        <v/>
      </c>
      <c r="L341" s="7" t="str">
        <f>IFERROR(INDEX(Diccionarios!$G$2:$G$201,MATCH($C341,Diccionarios!$H$2:$H$201,0))&amp;"","")</f>
        <v/>
      </c>
      <c r="M341" s="7" t="str">
        <f>IF(D341="","",D341&amp;"")</f>
        <v/>
      </c>
      <c r="N341" s="8" t="str">
        <f>IF($B341="","",IFERROR(INDEX(Modelos!$H$2:$H$301,MATCH($B341,Modelos!$C$2:$C$301,0)),""))</f>
        <v/>
      </c>
      <c r="O341" s="8" t="str">
        <f>IF($B341="","",IFERROR(INDEX(Modelos!$I$2:$I$301,MATCH($B341,Modelos!$C$2:$C$301,0)),""))</f>
        <v/>
      </c>
      <c r="P341" s="8" t="str">
        <f>IF($B341="","",IFERROR(INDEX(Modelos!$J$2:$J$301,MATCH($B341,Modelos!$C$2:$C$301,0)),""))</f>
        <v/>
      </c>
      <c r="Q341" s="7" t="str">
        <f>IFERROR(INDEX(Diccionarios!$B$2:$B$201,MATCH($A341,Diccionarios!$D$2:$D$201,0))&amp;"","")</f>
        <v/>
      </c>
      <c r="R341" s="7" t="str">
        <f>IFERROR(INDEX(Diccionarios!$C$2:$C$201,MATCH($A341,Diccionarios!$D$2:$D$201,0))&amp;"","")</f>
        <v/>
      </c>
      <c r="S341" s="7" t="str">
        <f>IFERROR(INDEX(Modelos!$K$2:$K$301,MATCH($B341,Modelos!$C$2:$C$301,0))&amp;"","")</f>
        <v/>
      </c>
      <c r="T341" s="7" t="str">
        <f>IFERROR(INDEX(Modelos!$L$2:$L$301,MATCH($B341,Modelos!$C$2:$C$301,0))&amp;"","")</f>
        <v/>
      </c>
    </row>
    <row r="342" spans="1:20" x14ac:dyDescent="0.25">
      <c r="A342" s="5"/>
      <c r="B342" s="5"/>
      <c r="C342" s="5"/>
      <c r="D342" s="6"/>
      <c r="E342" s="5"/>
      <c r="F342" s="7" t="str">
        <f>IF(AND(A342&lt;&gt;"",B342&lt;&gt;"",C342&lt;&gt;"",D342&lt;&gt;""),LEFT(A342,2)&amp;LEFT(B342,4)&amp;LEFT(C342,2)&amp;SUBSTITUTE(UPPER(D342),"Ú","U"),"")</f>
        <v/>
      </c>
      <c r="G342" s="7" t="str">
        <f>IFERROR(INDEX(Modelos!$B$2:$B$301,MATCH($B342,Modelos!$C$2:$C$301,0))&amp;"","")</f>
        <v/>
      </c>
      <c r="H342" s="7" t="str">
        <f>IFERROR(INDEX(Modelos!$D$2:$D$301,MATCH($B342,Modelos!$C$2:$C$301,0))&amp;"","")</f>
        <v/>
      </c>
      <c r="I342" s="7" t="str">
        <f>IFERROR(INDEX(Modelos!$E$2:$E$301,MATCH($B342,Modelos!$C$2:$C$301,0))&amp;"","")</f>
        <v/>
      </c>
      <c r="J342" s="7" t="str">
        <f>IFERROR(INDEX(Modelos!$F$2:$F$301,MATCH($B342,Modelos!$C$2:$C$301,0))&amp;"","")</f>
        <v/>
      </c>
      <c r="K342" s="7" t="str">
        <f>IFERROR(INDEX(Modelos!$G$2:$G$301,MATCH($B342,Modelos!$C$2:$C$301,0))&amp;"","")</f>
        <v/>
      </c>
      <c r="L342" s="7" t="str">
        <f>IFERROR(INDEX(Diccionarios!$G$2:$G$201,MATCH($C342,Diccionarios!$H$2:$H$201,0))&amp;"","")</f>
        <v/>
      </c>
      <c r="M342" s="7" t="str">
        <f>IF(D342="","",D342&amp;"")</f>
        <v/>
      </c>
      <c r="N342" s="8" t="str">
        <f>IF($B342="","",IFERROR(INDEX(Modelos!$H$2:$H$301,MATCH($B342,Modelos!$C$2:$C$301,0)),""))</f>
        <v/>
      </c>
      <c r="O342" s="8" t="str">
        <f>IF($B342="","",IFERROR(INDEX(Modelos!$I$2:$I$301,MATCH($B342,Modelos!$C$2:$C$301,0)),""))</f>
        <v/>
      </c>
      <c r="P342" s="8" t="str">
        <f>IF($B342="","",IFERROR(INDEX(Modelos!$J$2:$J$301,MATCH($B342,Modelos!$C$2:$C$301,0)),""))</f>
        <v/>
      </c>
      <c r="Q342" s="7" t="str">
        <f>IFERROR(INDEX(Diccionarios!$B$2:$B$201,MATCH($A342,Diccionarios!$D$2:$D$201,0))&amp;"","")</f>
        <v/>
      </c>
      <c r="R342" s="7" t="str">
        <f>IFERROR(INDEX(Diccionarios!$C$2:$C$201,MATCH($A342,Diccionarios!$D$2:$D$201,0))&amp;"","")</f>
        <v/>
      </c>
      <c r="S342" s="7" t="str">
        <f>IFERROR(INDEX(Modelos!$K$2:$K$301,MATCH($B342,Modelos!$C$2:$C$301,0))&amp;"","")</f>
        <v/>
      </c>
      <c r="T342" s="7" t="str">
        <f>IFERROR(INDEX(Modelos!$L$2:$L$301,MATCH($B342,Modelos!$C$2:$C$301,0))&amp;"","")</f>
        <v/>
      </c>
    </row>
    <row r="343" spans="1:20" x14ac:dyDescent="0.25">
      <c r="A343" s="5"/>
      <c r="B343" s="5"/>
      <c r="C343" s="5"/>
      <c r="D343" s="6"/>
      <c r="E343" s="5"/>
      <c r="F343" s="7" t="str">
        <f>IF(AND(A343&lt;&gt;"",B343&lt;&gt;"",C343&lt;&gt;"",D343&lt;&gt;""),LEFT(A343,2)&amp;LEFT(B343,4)&amp;LEFT(C343,2)&amp;SUBSTITUTE(UPPER(D343),"Ú","U"),"")</f>
        <v/>
      </c>
      <c r="G343" s="7" t="str">
        <f>IFERROR(INDEX(Modelos!$B$2:$B$301,MATCH($B343,Modelos!$C$2:$C$301,0))&amp;"","")</f>
        <v/>
      </c>
      <c r="H343" s="7" t="str">
        <f>IFERROR(INDEX(Modelos!$D$2:$D$301,MATCH($B343,Modelos!$C$2:$C$301,0))&amp;"","")</f>
        <v/>
      </c>
      <c r="I343" s="7" t="str">
        <f>IFERROR(INDEX(Modelos!$E$2:$E$301,MATCH($B343,Modelos!$C$2:$C$301,0))&amp;"","")</f>
        <v/>
      </c>
      <c r="J343" s="7" t="str">
        <f>IFERROR(INDEX(Modelos!$F$2:$F$301,MATCH($B343,Modelos!$C$2:$C$301,0))&amp;"","")</f>
        <v/>
      </c>
      <c r="K343" s="7" t="str">
        <f>IFERROR(INDEX(Modelos!$G$2:$G$301,MATCH($B343,Modelos!$C$2:$C$301,0))&amp;"","")</f>
        <v/>
      </c>
      <c r="L343" s="7" t="str">
        <f>IFERROR(INDEX(Diccionarios!$G$2:$G$201,MATCH($C343,Diccionarios!$H$2:$H$201,0))&amp;"","")</f>
        <v/>
      </c>
      <c r="M343" s="7" t="str">
        <f>IF(D343="","",D343&amp;"")</f>
        <v/>
      </c>
      <c r="N343" s="8" t="str">
        <f>IF($B343="","",IFERROR(INDEX(Modelos!$H$2:$H$301,MATCH($B343,Modelos!$C$2:$C$301,0)),""))</f>
        <v/>
      </c>
      <c r="O343" s="8" t="str">
        <f>IF($B343="","",IFERROR(INDEX(Modelos!$I$2:$I$301,MATCH($B343,Modelos!$C$2:$C$301,0)),""))</f>
        <v/>
      </c>
      <c r="P343" s="8" t="str">
        <f>IF($B343="","",IFERROR(INDEX(Modelos!$J$2:$J$301,MATCH($B343,Modelos!$C$2:$C$301,0)),""))</f>
        <v/>
      </c>
      <c r="Q343" s="7" t="str">
        <f>IFERROR(INDEX(Diccionarios!$B$2:$B$201,MATCH($A343,Diccionarios!$D$2:$D$201,0))&amp;"","")</f>
        <v/>
      </c>
      <c r="R343" s="7" t="str">
        <f>IFERROR(INDEX(Diccionarios!$C$2:$C$201,MATCH($A343,Diccionarios!$D$2:$D$201,0))&amp;"","")</f>
        <v/>
      </c>
      <c r="S343" s="7" t="str">
        <f>IFERROR(INDEX(Modelos!$K$2:$K$301,MATCH($B343,Modelos!$C$2:$C$301,0))&amp;"","")</f>
        <v/>
      </c>
      <c r="T343" s="7" t="str">
        <f>IFERROR(INDEX(Modelos!$L$2:$L$301,MATCH($B343,Modelos!$C$2:$C$301,0))&amp;"","")</f>
        <v/>
      </c>
    </row>
    <row r="344" spans="1:20" x14ac:dyDescent="0.25">
      <c r="A344" s="5"/>
      <c r="B344" s="5"/>
      <c r="C344" s="5"/>
      <c r="D344" s="6"/>
      <c r="E344" s="5"/>
      <c r="F344" s="7" t="str">
        <f>IF(AND(A344&lt;&gt;"",B344&lt;&gt;"",C344&lt;&gt;"",D344&lt;&gt;""),LEFT(A344,2)&amp;LEFT(B344,4)&amp;LEFT(C344,2)&amp;SUBSTITUTE(UPPER(D344),"Ú","U"),"")</f>
        <v/>
      </c>
      <c r="G344" s="7" t="str">
        <f>IFERROR(INDEX(Modelos!$B$2:$B$301,MATCH($B344,Modelos!$C$2:$C$301,0))&amp;"","")</f>
        <v/>
      </c>
      <c r="H344" s="7" t="str">
        <f>IFERROR(INDEX(Modelos!$D$2:$D$301,MATCH($B344,Modelos!$C$2:$C$301,0))&amp;"","")</f>
        <v/>
      </c>
      <c r="I344" s="7" t="str">
        <f>IFERROR(INDEX(Modelos!$E$2:$E$301,MATCH($B344,Modelos!$C$2:$C$301,0))&amp;"","")</f>
        <v/>
      </c>
      <c r="J344" s="7" t="str">
        <f>IFERROR(INDEX(Modelos!$F$2:$F$301,MATCH($B344,Modelos!$C$2:$C$301,0))&amp;"","")</f>
        <v/>
      </c>
      <c r="K344" s="7" t="str">
        <f>IFERROR(INDEX(Modelos!$G$2:$G$301,MATCH($B344,Modelos!$C$2:$C$301,0))&amp;"","")</f>
        <v/>
      </c>
      <c r="L344" s="7" t="str">
        <f>IFERROR(INDEX(Diccionarios!$G$2:$G$201,MATCH($C344,Diccionarios!$H$2:$H$201,0))&amp;"","")</f>
        <v/>
      </c>
      <c r="M344" s="7" t="str">
        <f>IF(D344="","",D344&amp;"")</f>
        <v/>
      </c>
      <c r="N344" s="8" t="str">
        <f>IF($B344="","",IFERROR(INDEX(Modelos!$H$2:$H$301,MATCH($B344,Modelos!$C$2:$C$301,0)),""))</f>
        <v/>
      </c>
      <c r="O344" s="8" t="str">
        <f>IF($B344="","",IFERROR(INDEX(Modelos!$I$2:$I$301,MATCH($B344,Modelos!$C$2:$C$301,0)),""))</f>
        <v/>
      </c>
      <c r="P344" s="8" t="str">
        <f>IF($B344="","",IFERROR(INDEX(Modelos!$J$2:$J$301,MATCH($B344,Modelos!$C$2:$C$301,0)),""))</f>
        <v/>
      </c>
      <c r="Q344" s="7" t="str">
        <f>IFERROR(INDEX(Diccionarios!$B$2:$B$201,MATCH($A344,Diccionarios!$D$2:$D$201,0))&amp;"","")</f>
        <v/>
      </c>
      <c r="R344" s="7" t="str">
        <f>IFERROR(INDEX(Diccionarios!$C$2:$C$201,MATCH($A344,Diccionarios!$D$2:$D$201,0))&amp;"","")</f>
        <v/>
      </c>
      <c r="S344" s="7" t="str">
        <f>IFERROR(INDEX(Modelos!$K$2:$K$301,MATCH($B344,Modelos!$C$2:$C$301,0))&amp;"","")</f>
        <v/>
      </c>
      <c r="T344" s="7" t="str">
        <f>IFERROR(INDEX(Modelos!$L$2:$L$301,MATCH($B344,Modelos!$C$2:$C$301,0))&amp;"","")</f>
        <v/>
      </c>
    </row>
    <row r="345" spans="1:20" x14ac:dyDescent="0.25">
      <c r="A345" s="5"/>
      <c r="B345" s="5"/>
      <c r="C345" s="5"/>
      <c r="D345" s="6"/>
      <c r="E345" s="5"/>
      <c r="F345" s="7" t="str">
        <f>IF(AND(A345&lt;&gt;"",B345&lt;&gt;"",C345&lt;&gt;"",D345&lt;&gt;""),LEFT(A345,2)&amp;LEFT(B345,4)&amp;LEFT(C345,2)&amp;SUBSTITUTE(UPPER(D345),"Ú","U"),"")</f>
        <v/>
      </c>
      <c r="G345" s="7" t="str">
        <f>IFERROR(INDEX(Modelos!$B$2:$B$301,MATCH($B345,Modelos!$C$2:$C$301,0))&amp;"","")</f>
        <v/>
      </c>
      <c r="H345" s="7" t="str">
        <f>IFERROR(INDEX(Modelos!$D$2:$D$301,MATCH($B345,Modelos!$C$2:$C$301,0))&amp;"","")</f>
        <v/>
      </c>
      <c r="I345" s="7" t="str">
        <f>IFERROR(INDEX(Modelos!$E$2:$E$301,MATCH($B345,Modelos!$C$2:$C$301,0))&amp;"","")</f>
        <v/>
      </c>
      <c r="J345" s="7" t="str">
        <f>IFERROR(INDEX(Modelos!$F$2:$F$301,MATCH($B345,Modelos!$C$2:$C$301,0))&amp;"","")</f>
        <v/>
      </c>
      <c r="K345" s="7" t="str">
        <f>IFERROR(INDEX(Modelos!$G$2:$G$301,MATCH($B345,Modelos!$C$2:$C$301,0))&amp;"","")</f>
        <v/>
      </c>
      <c r="L345" s="7" t="str">
        <f>IFERROR(INDEX(Diccionarios!$G$2:$G$201,MATCH($C345,Diccionarios!$H$2:$H$201,0))&amp;"","")</f>
        <v/>
      </c>
      <c r="M345" s="7" t="str">
        <f>IF(D345="","",D345&amp;"")</f>
        <v/>
      </c>
      <c r="N345" s="8" t="str">
        <f>IF($B345="","",IFERROR(INDEX(Modelos!$H$2:$H$301,MATCH($B345,Modelos!$C$2:$C$301,0)),""))</f>
        <v/>
      </c>
      <c r="O345" s="8" t="str">
        <f>IF($B345="","",IFERROR(INDEX(Modelos!$I$2:$I$301,MATCH($B345,Modelos!$C$2:$C$301,0)),""))</f>
        <v/>
      </c>
      <c r="P345" s="8" t="str">
        <f>IF($B345="","",IFERROR(INDEX(Modelos!$J$2:$J$301,MATCH($B345,Modelos!$C$2:$C$301,0)),""))</f>
        <v/>
      </c>
      <c r="Q345" s="7" t="str">
        <f>IFERROR(INDEX(Diccionarios!$B$2:$B$201,MATCH($A345,Diccionarios!$D$2:$D$201,0))&amp;"","")</f>
        <v/>
      </c>
      <c r="R345" s="7" t="str">
        <f>IFERROR(INDEX(Diccionarios!$C$2:$C$201,MATCH($A345,Diccionarios!$D$2:$D$201,0))&amp;"","")</f>
        <v/>
      </c>
      <c r="S345" s="7" t="str">
        <f>IFERROR(INDEX(Modelos!$K$2:$K$301,MATCH($B345,Modelos!$C$2:$C$301,0))&amp;"","")</f>
        <v/>
      </c>
      <c r="T345" s="7" t="str">
        <f>IFERROR(INDEX(Modelos!$L$2:$L$301,MATCH($B345,Modelos!$C$2:$C$301,0))&amp;"","")</f>
        <v/>
      </c>
    </row>
    <row r="346" spans="1:20" x14ac:dyDescent="0.25">
      <c r="A346" s="5"/>
      <c r="B346" s="5"/>
      <c r="C346" s="5"/>
      <c r="D346" s="6"/>
      <c r="E346" s="5"/>
      <c r="F346" s="7" t="str">
        <f>IF(AND(A346&lt;&gt;"",B346&lt;&gt;"",C346&lt;&gt;"",D346&lt;&gt;""),LEFT(A346,2)&amp;LEFT(B346,4)&amp;LEFT(C346,2)&amp;SUBSTITUTE(UPPER(D346),"Ú","U"),"")</f>
        <v/>
      </c>
      <c r="G346" s="7" t="str">
        <f>IFERROR(INDEX(Modelos!$B$2:$B$301,MATCH($B346,Modelos!$C$2:$C$301,0))&amp;"","")</f>
        <v/>
      </c>
      <c r="H346" s="7" t="str">
        <f>IFERROR(INDEX(Modelos!$D$2:$D$301,MATCH($B346,Modelos!$C$2:$C$301,0))&amp;"","")</f>
        <v/>
      </c>
      <c r="I346" s="7" t="str">
        <f>IFERROR(INDEX(Modelos!$E$2:$E$301,MATCH($B346,Modelos!$C$2:$C$301,0))&amp;"","")</f>
        <v/>
      </c>
      <c r="J346" s="7" t="str">
        <f>IFERROR(INDEX(Modelos!$F$2:$F$301,MATCH($B346,Modelos!$C$2:$C$301,0))&amp;"","")</f>
        <v/>
      </c>
      <c r="K346" s="7" t="str">
        <f>IFERROR(INDEX(Modelos!$G$2:$G$301,MATCH($B346,Modelos!$C$2:$C$301,0))&amp;"","")</f>
        <v/>
      </c>
      <c r="L346" s="7" t="str">
        <f>IFERROR(INDEX(Diccionarios!$G$2:$G$201,MATCH($C346,Diccionarios!$H$2:$H$201,0))&amp;"","")</f>
        <v/>
      </c>
      <c r="M346" s="7" t="str">
        <f>IF(D346="","",D346&amp;"")</f>
        <v/>
      </c>
      <c r="N346" s="8" t="str">
        <f>IF($B346="","",IFERROR(INDEX(Modelos!$H$2:$H$301,MATCH($B346,Modelos!$C$2:$C$301,0)),""))</f>
        <v/>
      </c>
      <c r="O346" s="8" t="str">
        <f>IF($B346="","",IFERROR(INDEX(Modelos!$I$2:$I$301,MATCH($B346,Modelos!$C$2:$C$301,0)),""))</f>
        <v/>
      </c>
      <c r="P346" s="8" t="str">
        <f>IF($B346="","",IFERROR(INDEX(Modelos!$J$2:$J$301,MATCH($B346,Modelos!$C$2:$C$301,0)),""))</f>
        <v/>
      </c>
      <c r="Q346" s="7" t="str">
        <f>IFERROR(INDEX(Diccionarios!$B$2:$B$201,MATCH($A346,Diccionarios!$D$2:$D$201,0))&amp;"","")</f>
        <v/>
      </c>
      <c r="R346" s="7" t="str">
        <f>IFERROR(INDEX(Diccionarios!$C$2:$C$201,MATCH($A346,Diccionarios!$D$2:$D$201,0))&amp;"","")</f>
        <v/>
      </c>
      <c r="S346" s="7" t="str">
        <f>IFERROR(INDEX(Modelos!$K$2:$K$301,MATCH($B346,Modelos!$C$2:$C$301,0))&amp;"","")</f>
        <v/>
      </c>
      <c r="T346" s="7" t="str">
        <f>IFERROR(INDEX(Modelos!$L$2:$L$301,MATCH($B346,Modelos!$C$2:$C$301,0))&amp;"","")</f>
        <v/>
      </c>
    </row>
    <row r="347" spans="1:20" x14ac:dyDescent="0.25">
      <c r="A347" s="5"/>
      <c r="B347" s="5"/>
      <c r="C347" s="5"/>
      <c r="D347" s="6"/>
      <c r="E347" s="5"/>
      <c r="F347" s="7" t="str">
        <f>IF(AND(A347&lt;&gt;"",B347&lt;&gt;"",C347&lt;&gt;"",D347&lt;&gt;""),LEFT(A347,2)&amp;LEFT(B347,4)&amp;LEFT(C347,2)&amp;SUBSTITUTE(UPPER(D347),"Ú","U"),"")</f>
        <v/>
      </c>
      <c r="G347" s="7" t="str">
        <f>IFERROR(INDEX(Modelos!$B$2:$B$301,MATCH($B347,Modelos!$C$2:$C$301,0))&amp;"","")</f>
        <v/>
      </c>
      <c r="H347" s="7" t="str">
        <f>IFERROR(INDEX(Modelos!$D$2:$D$301,MATCH($B347,Modelos!$C$2:$C$301,0))&amp;"","")</f>
        <v/>
      </c>
      <c r="I347" s="7" t="str">
        <f>IFERROR(INDEX(Modelos!$E$2:$E$301,MATCH($B347,Modelos!$C$2:$C$301,0))&amp;"","")</f>
        <v/>
      </c>
      <c r="J347" s="7" t="str">
        <f>IFERROR(INDEX(Modelos!$F$2:$F$301,MATCH($B347,Modelos!$C$2:$C$301,0))&amp;"","")</f>
        <v/>
      </c>
      <c r="K347" s="7" t="str">
        <f>IFERROR(INDEX(Modelos!$G$2:$G$301,MATCH($B347,Modelos!$C$2:$C$301,0))&amp;"","")</f>
        <v/>
      </c>
      <c r="L347" s="7" t="str">
        <f>IFERROR(INDEX(Diccionarios!$G$2:$G$201,MATCH($C347,Diccionarios!$H$2:$H$201,0))&amp;"","")</f>
        <v/>
      </c>
      <c r="M347" s="7" t="str">
        <f>IF(D347="","",D347&amp;"")</f>
        <v/>
      </c>
      <c r="N347" s="8" t="str">
        <f>IF($B347="","",IFERROR(INDEX(Modelos!$H$2:$H$301,MATCH($B347,Modelos!$C$2:$C$301,0)),""))</f>
        <v/>
      </c>
      <c r="O347" s="8" t="str">
        <f>IF($B347="","",IFERROR(INDEX(Modelos!$I$2:$I$301,MATCH($B347,Modelos!$C$2:$C$301,0)),""))</f>
        <v/>
      </c>
      <c r="P347" s="8" t="str">
        <f>IF($B347="","",IFERROR(INDEX(Modelos!$J$2:$J$301,MATCH($B347,Modelos!$C$2:$C$301,0)),""))</f>
        <v/>
      </c>
      <c r="Q347" s="7" t="str">
        <f>IFERROR(INDEX(Diccionarios!$B$2:$B$201,MATCH($A347,Diccionarios!$D$2:$D$201,0))&amp;"","")</f>
        <v/>
      </c>
      <c r="R347" s="7" t="str">
        <f>IFERROR(INDEX(Diccionarios!$C$2:$C$201,MATCH($A347,Diccionarios!$D$2:$D$201,0))&amp;"","")</f>
        <v/>
      </c>
      <c r="S347" s="7" t="str">
        <f>IFERROR(INDEX(Modelos!$K$2:$K$301,MATCH($B347,Modelos!$C$2:$C$301,0))&amp;"","")</f>
        <v/>
      </c>
      <c r="T347" s="7" t="str">
        <f>IFERROR(INDEX(Modelos!$L$2:$L$301,MATCH($B347,Modelos!$C$2:$C$301,0))&amp;"","")</f>
        <v/>
      </c>
    </row>
    <row r="348" spans="1:20" x14ac:dyDescent="0.25">
      <c r="A348" s="5"/>
      <c r="B348" s="5"/>
      <c r="C348" s="5"/>
      <c r="D348" s="6"/>
      <c r="E348" s="5"/>
      <c r="F348" s="7" t="str">
        <f>IF(AND(A348&lt;&gt;"",B348&lt;&gt;"",C348&lt;&gt;"",D348&lt;&gt;""),LEFT(A348,2)&amp;LEFT(B348,4)&amp;LEFT(C348,2)&amp;SUBSTITUTE(UPPER(D348),"Ú","U"),"")</f>
        <v/>
      </c>
      <c r="G348" s="7" t="str">
        <f>IFERROR(INDEX(Modelos!$B$2:$B$301,MATCH($B348,Modelos!$C$2:$C$301,0))&amp;"","")</f>
        <v/>
      </c>
      <c r="H348" s="7" t="str">
        <f>IFERROR(INDEX(Modelos!$D$2:$D$301,MATCH($B348,Modelos!$C$2:$C$301,0))&amp;"","")</f>
        <v/>
      </c>
      <c r="I348" s="7" t="str">
        <f>IFERROR(INDEX(Modelos!$E$2:$E$301,MATCH($B348,Modelos!$C$2:$C$301,0))&amp;"","")</f>
        <v/>
      </c>
      <c r="J348" s="7" t="str">
        <f>IFERROR(INDEX(Modelos!$F$2:$F$301,MATCH($B348,Modelos!$C$2:$C$301,0))&amp;"","")</f>
        <v/>
      </c>
      <c r="K348" s="7" t="str">
        <f>IFERROR(INDEX(Modelos!$G$2:$G$301,MATCH($B348,Modelos!$C$2:$C$301,0))&amp;"","")</f>
        <v/>
      </c>
      <c r="L348" s="7" t="str">
        <f>IFERROR(INDEX(Diccionarios!$G$2:$G$201,MATCH($C348,Diccionarios!$H$2:$H$201,0))&amp;"","")</f>
        <v/>
      </c>
      <c r="M348" s="7" t="str">
        <f>IF(D348="","",D348&amp;"")</f>
        <v/>
      </c>
      <c r="N348" s="8" t="str">
        <f>IF($B348="","",IFERROR(INDEX(Modelos!$H$2:$H$301,MATCH($B348,Modelos!$C$2:$C$301,0)),""))</f>
        <v/>
      </c>
      <c r="O348" s="8" t="str">
        <f>IF($B348="","",IFERROR(INDEX(Modelos!$I$2:$I$301,MATCH($B348,Modelos!$C$2:$C$301,0)),""))</f>
        <v/>
      </c>
      <c r="P348" s="8" t="str">
        <f>IF($B348="","",IFERROR(INDEX(Modelos!$J$2:$J$301,MATCH($B348,Modelos!$C$2:$C$301,0)),""))</f>
        <v/>
      </c>
      <c r="Q348" s="7" t="str">
        <f>IFERROR(INDEX(Diccionarios!$B$2:$B$201,MATCH($A348,Diccionarios!$D$2:$D$201,0))&amp;"","")</f>
        <v/>
      </c>
      <c r="R348" s="7" t="str">
        <f>IFERROR(INDEX(Diccionarios!$C$2:$C$201,MATCH($A348,Diccionarios!$D$2:$D$201,0))&amp;"","")</f>
        <v/>
      </c>
      <c r="S348" s="7" t="str">
        <f>IFERROR(INDEX(Modelos!$K$2:$K$301,MATCH($B348,Modelos!$C$2:$C$301,0))&amp;"","")</f>
        <v/>
      </c>
      <c r="T348" s="7" t="str">
        <f>IFERROR(INDEX(Modelos!$L$2:$L$301,MATCH($B348,Modelos!$C$2:$C$301,0))&amp;"","")</f>
        <v/>
      </c>
    </row>
    <row r="349" spans="1:20" x14ac:dyDescent="0.25">
      <c r="A349" s="5"/>
      <c r="B349" s="5"/>
      <c r="C349" s="5"/>
      <c r="D349" s="6"/>
      <c r="E349" s="5"/>
      <c r="F349" s="7" t="str">
        <f>IF(AND(A349&lt;&gt;"",B349&lt;&gt;"",C349&lt;&gt;"",D349&lt;&gt;""),LEFT(A349,2)&amp;LEFT(B349,4)&amp;LEFT(C349,2)&amp;SUBSTITUTE(UPPER(D349),"Ú","U"),"")</f>
        <v/>
      </c>
      <c r="G349" s="7" t="str">
        <f>IFERROR(INDEX(Modelos!$B$2:$B$301,MATCH($B349,Modelos!$C$2:$C$301,0))&amp;"","")</f>
        <v/>
      </c>
      <c r="H349" s="7" t="str">
        <f>IFERROR(INDEX(Modelos!$D$2:$D$301,MATCH($B349,Modelos!$C$2:$C$301,0))&amp;"","")</f>
        <v/>
      </c>
      <c r="I349" s="7" t="str">
        <f>IFERROR(INDEX(Modelos!$E$2:$E$301,MATCH($B349,Modelos!$C$2:$C$301,0))&amp;"","")</f>
        <v/>
      </c>
      <c r="J349" s="7" t="str">
        <f>IFERROR(INDEX(Modelos!$F$2:$F$301,MATCH($B349,Modelos!$C$2:$C$301,0))&amp;"","")</f>
        <v/>
      </c>
      <c r="K349" s="7" t="str">
        <f>IFERROR(INDEX(Modelos!$G$2:$G$301,MATCH($B349,Modelos!$C$2:$C$301,0))&amp;"","")</f>
        <v/>
      </c>
      <c r="L349" s="7" t="str">
        <f>IFERROR(INDEX(Diccionarios!$G$2:$G$201,MATCH($C349,Diccionarios!$H$2:$H$201,0))&amp;"","")</f>
        <v/>
      </c>
      <c r="M349" s="7" t="str">
        <f>IF(D349="","",D349&amp;"")</f>
        <v/>
      </c>
      <c r="N349" s="8" t="str">
        <f>IF($B349="","",IFERROR(INDEX(Modelos!$H$2:$H$301,MATCH($B349,Modelos!$C$2:$C$301,0)),""))</f>
        <v/>
      </c>
      <c r="O349" s="8" t="str">
        <f>IF($B349="","",IFERROR(INDEX(Modelos!$I$2:$I$301,MATCH($B349,Modelos!$C$2:$C$301,0)),""))</f>
        <v/>
      </c>
      <c r="P349" s="8" t="str">
        <f>IF($B349="","",IFERROR(INDEX(Modelos!$J$2:$J$301,MATCH($B349,Modelos!$C$2:$C$301,0)),""))</f>
        <v/>
      </c>
      <c r="Q349" s="7" t="str">
        <f>IFERROR(INDEX(Diccionarios!$B$2:$B$201,MATCH($A349,Diccionarios!$D$2:$D$201,0))&amp;"","")</f>
        <v/>
      </c>
      <c r="R349" s="7" t="str">
        <f>IFERROR(INDEX(Diccionarios!$C$2:$C$201,MATCH($A349,Diccionarios!$D$2:$D$201,0))&amp;"","")</f>
        <v/>
      </c>
      <c r="S349" s="7" t="str">
        <f>IFERROR(INDEX(Modelos!$K$2:$K$301,MATCH($B349,Modelos!$C$2:$C$301,0))&amp;"","")</f>
        <v/>
      </c>
      <c r="T349" s="7" t="str">
        <f>IFERROR(INDEX(Modelos!$L$2:$L$301,MATCH($B349,Modelos!$C$2:$C$301,0))&amp;"","")</f>
        <v/>
      </c>
    </row>
    <row r="350" spans="1:20" x14ac:dyDescent="0.25">
      <c r="A350" s="5"/>
      <c r="B350" s="5"/>
      <c r="C350" s="5"/>
      <c r="D350" s="6"/>
      <c r="E350" s="5"/>
      <c r="F350" s="7" t="str">
        <f>IF(AND(A350&lt;&gt;"",B350&lt;&gt;"",C350&lt;&gt;"",D350&lt;&gt;""),LEFT(A350,2)&amp;LEFT(B350,4)&amp;LEFT(C350,2)&amp;SUBSTITUTE(UPPER(D350),"Ú","U"),"")</f>
        <v/>
      </c>
      <c r="G350" s="7" t="str">
        <f>IFERROR(INDEX(Modelos!$B$2:$B$301,MATCH($B350,Modelos!$C$2:$C$301,0))&amp;"","")</f>
        <v/>
      </c>
      <c r="H350" s="7" t="str">
        <f>IFERROR(INDEX(Modelos!$D$2:$D$301,MATCH($B350,Modelos!$C$2:$C$301,0))&amp;"","")</f>
        <v/>
      </c>
      <c r="I350" s="7" t="str">
        <f>IFERROR(INDEX(Modelos!$E$2:$E$301,MATCH($B350,Modelos!$C$2:$C$301,0))&amp;"","")</f>
        <v/>
      </c>
      <c r="J350" s="7" t="str">
        <f>IFERROR(INDEX(Modelos!$F$2:$F$301,MATCH($B350,Modelos!$C$2:$C$301,0))&amp;"","")</f>
        <v/>
      </c>
      <c r="K350" s="7" t="str">
        <f>IFERROR(INDEX(Modelos!$G$2:$G$301,MATCH($B350,Modelos!$C$2:$C$301,0))&amp;"","")</f>
        <v/>
      </c>
      <c r="L350" s="7" t="str">
        <f>IFERROR(INDEX(Diccionarios!$G$2:$G$201,MATCH($C350,Diccionarios!$H$2:$H$201,0))&amp;"","")</f>
        <v/>
      </c>
      <c r="M350" s="7" t="str">
        <f>IF(D350="","",D350&amp;"")</f>
        <v/>
      </c>
      <c r="N350" s="8" t="str">
        <f>IF($B350="","",IFERROR(INDEX(Modelos!$H$2:$H$301,MATCH($B350,Modelos!$C$2:$C$301,0)),""))</f>
        <v/>
      </c>
      <c r="O350" s="8" t="str">
        <f>IF($B350="","",IFERROR(INDEX(Modelos!$I$2:$I$301,MATCH($B350,Modelos!$C$2:$C$301,0)),""))</f>
        <v/>
      </c>
      <c r="P350" s="8" t="str">
        <f>IF($B350="","",IFERROR(INDEX(Modelos!$J$2:$J$301,MATCH($B350,Modelos!$C$2:$C$301,0)),""))</f>
        <v/>
      </c>
      <c r="Q350" s="7" t="str">
        <f>IFERROR(INDEX(Diccionarios!$B$2:$B$201,MATCH($A350,Diccionarios!$D$2:$D$201,0))&amp;"","")</f>
        <v/>
      </c>
      <c r="R350" s="7" t="str">
        <f>IFERROR(INDEX(Diccionarios!$C$2:$C$201,MATCH($A350,Diccionarios!$D$2:$D$201,0))&amp;"","")</f>
        <v/>
      </c>
      <c r="S350" s="7" t="str">
        <f>IFERROR(INDEX(Modelos!$K$2:$K$301,MATCH($B350,Modelos!$C$2:$C$301,0))&amp;"","")</f>
        <v/>
      </c>
      <c r="T350" s="7" t="str">
        <f>IFERROR(INDEX(Modelos!$L$2:$L$301,MATCH($B350,Modelos!$C$2:$C$301,0))&amp;"","")</f>
        <v/>
      </c>
    </row>
    <row r="351" spans="1:20" x14ac:dyDescent="0.25">
      <c r="A351" s="5"/>
      <c r="B351" s="5"/>
      <c r="C351" s="5"/>
      <c r="D351" s="6"/>
      <c r="E351" s="5"/>
      <c r="F351" s="7" t="str">
        <f>IF(AND(A351&lt;&gt;"",B351&lt;&gt;"",C351&lt;&gt;"",D351&lt;&gt;""),LEFT(A351,2)&amp;LEFT(B351,4)&amp;LEFT(C351,2)&amp;SUBSTITUTE(UPPER(D351),"Ú","U"),"")</f>
        <v/>
      </c>
      <c r="G351" s="7" t="str">
        <f>IFERROR(INDEX(Modelos!$B$2:$B$301,MATCH($B351,Modelos!$C$2:$C$301,0))&amp;"","")</f>
        <v/>
      </c>
      <c r="H351" s="7" t="str">
        <f>IFERROR(INDEX(Modelos!$D$2:$D$301,MATCH($B351,Modelos!$C$2:$C$301,0))&amp;"","")</f>
        <v/>
      </c>
      <c r="I351" s="7" t="str">
        <f>IFERROR(INDEX(Modelos!$E$2:$E$301,MATCH($B351,Modelos!$C$2:$C$301,0))&amp;"","")</f>
        <v/>
      </c>
      <c r="J351" s="7" t="str">
        <f>IFERROR(INDEX(Modelos!$F$2:$F$301,MATCH($B351,Modelos!$C$2:$C$301,0))&amp;"","")</f>
        <v/>
      </c>
      <c r="K351" s="7" t="str">
        <f>IFERROR(INDEX(Modelos!$G$2:$G$301,MATCH($B351,Modelos!$C$2:$C$301,0))&amp;"","")</f>
        <v/>
      </c>
      <c r="L351" s="7" t="str">
        <f>IFERROR(INDEX(Diccionarios!$G$2:$G$201,MATCH($C351,Diccionarios!$H$2:$H$201,0))&amp;"","")</f>
        <v/>
      </c>
      <c r="M351" s="7" t="str">
        <f>IF(D351="","",D351&amp;"")</f>
        <v/>
      </c>
      <c r="N351" s="8" t="str">
        <f>IF($B351="","",IFERROR(INDEX(Modelos!$H$2:$H$301,MATCH($B351,Modelos!$C$2:$C$301,0)),""))</f>
        <v/>
      </c>
      <c r="O351" s="8" t="str">
        <f>IF($B351="","",IFERROR(INDEX(Modelos!$I$2:$I$301,MATCH($B351,Modelos!$C$2:$C$301,0)),""))</f>
        <v/>
      </c>
      <c r="P351" s="8" t="str">
        <f>IF($B351="","",IFERROR(INDEX(Modelos!$J$2:$J$301,MATCH($B351,Modelos!$C$2:$C$301,0)),""))</f>
        <v/>
      </c>
      <c r="Q351" s="7" t="str">
        <f>IFERROR(INDEX(Diccionarios!$B$2:$B$201,MATCH($A351,Diccionarios!$D$2:$D$201,0))&amp;"","")</f>
        <v/>
      </c>
      <c r="R351" s="7" t="str">
        <f>IFERROR(INDEX(Diccionarios!$C$2:$C$201,MATCH($A351,Diccionarios!$D$2:$D$201,0))&amp;"","")</f>
        <v/>
      </c>
      <c r="S351" s="7" t="str">
        <f>IFERROR(INDEX(Modelos!$K$2:$K$301,MATCH($B351,Modelos!$C$2:$C$301,0))&amp;"","")</f>
        <v/>
      </c>
      <c r="T351" s="7" t="str">
        <f>IFERROR(INDEX(Modelos!$L$2:$L$301,MATCH($B351,Modelos!$C$2:$C$301,0))&amp;"","")</f>
        <v/>
      </c>
    </row>
    <row r="352" spans="1:20" x14ac:dyDescent="0.25">
      <c r="A352" s="5"/>
      <c r="B352" s="5"/>
      <c r="C352" s="5"/>
      <c r="D352" s="6"/>
      <c r="E352" s="5"/>
      <c r="F352" s="7" t="str">
        <f>IF(AND(A352&lt;&gt;"",B352&lt;&gt;"",C352&lt;&gt;"",D352&lt;&gt;""),LEFT(A352,2)&amp;LEFT(B352,4)&amp;LEFT(C352,2)&amp;SUBSTITUTE(UPPER(D352),"Ú","U"),"")</f>
        <v/>
      </c>
      <c r="G352" s="7" t="str">
        <f>IFERROR(INDEX(Modelos!$B$2:$B$301,MATCH($B352,Modelos!$C$2:$C$301,0))&amp;"","")</f>
        <v/>
      </c>
      <c r="H352" s="7" t="str">
        <f>IFERROR(INDEX(Modelos!$D$2:$D$301,MATCH($B352,Modelos!$C$2:$C$301,0))&amp;"","")</f>
        <v/>
      </c>
      <c r="I352" s="7" t="str">
        <f>IFERROR(INDEX(Modelos!$E$2:$E$301,MATCH($B352,Modelos!$C$2:$C$301,0))&amp;"","")</f>
        <v/>
      </c>
      <c r="J352" s="7" t="str">
        <f>IFERROR(INDEX(Modelos!$F$2:$F$301,MATCH($B352,Modelos!$C$2:$C$301,0))&amp;"","")</f>
        <v/>
      </c>
      <c r="K352" s="7" t="str">
        <f>IFERROR(INDEX(Modelos!$G$2:$G$301,MATCH($B352,Modelos!$C$2:$C$301,0))&amp;"","")</f>
        <v/>
      </c>
      <c r="L352" s="7" t="str">
        <f>IFERROR(INDEX(Diccionarios!$G$2:$G$201,MATCH($C352,Diccionarios!$H$2:$H$201,0))&amp;"","")</f>
        <v/>
      </c>
      <c r="M352" s="7" t="str">
        <f>IF(D352="","",D352&amp;"")</f>
        <v/>
      </c>
      <c r="N352" s="8" t="str">
        <f>IF($B352="","",IFERROR(INDEX(Modelos!$H$2:$H$301,MATCH($B352,Modelos!$C$2:$C$301,0)),""))</f>
        <v/>
      </c>
      <c r="O352" s="8" t="str">
        <f>IF($B352="","",IFERROR(INDEX(Modelos!$I$2:$I$301,MATCH($B352,Modelos!$C$2:$C$301,0)),""))</f>
        <v/>
      </c>
      <c r="P352" s="8" t="str">
        <f>IF($B352="","",IFERROR(INDEX(Modelos!$J$2:$J$301,MATCH($B352,Modelos!$C$2:$C$301,0)),""))</f>
        <v/>
      </c>
      <c r="Q352" s="7" t="str">
        <f>IFERROR(INDEX(Diccionarios!$B$2:$B$201,MATCH($A352,Diccionarios!$D$2:$D$201,0))&amp;"","")</f>
        <v/>
      </c>
      <c r="R352" s="7" t="str">
        <f>IFERROR(INDEX(Diccionarios!$C$2:$C$201,MATCH($A352,Diccionarios!$D$2:$D$201,0))&amp;"","")</f>
        <v/>
      </c>
      <c r="S352" s="7" t="str">
        <f>IFERROR(INDEX(Modelos!$K$2:$K$301,MATCH($B352,Modelos!$C$2:$C$301,0))&amp;"","")</f>
        <v/>
      </c>
      <c r="T352" s="7" t="str">
        <f>IFERROR(INDEX(Modelos!$L$2:$L$301,MATCH($B352,Modelos!$C$2:$C$301,0))&amp;"","")</f>
        <v/>
      </c>
    </row>
    <row r="353" spans="1:20" x14ac:dyDescent="0.25">
      <c r="A353" s="5"/>
      <c r="B353" s="5"/>
      <c r="C353" s="5"/>
      <c r="D353" s="6"/>
      <c r="E353" s="5"/>
      <c r="F353" s="7" t="str">
        <f>IF(AND(A353&lt;&gt;"",B353&lt;&gt;"",C353&lt;&gt;"",D353&lt;&gt;""),LEFT(A353,2)&amp;LEFT(B353,4)&amp;LEFT(C353,2)&amp;SUBSTITUTE(UPPER(D353),"Ú","U"),"")</f>
        <v/>
      </c>
      <c r="G353" s="7" t="str">
        <f>IFERROR(INDEX(Modelos!$B$2:$B$301,MATCH($B353,Modelos!$C$2:$C$301,0))&amp;"","")</f>
        <v/>
      </c>
      <c r="H353" s="7" t="str">
        <f>IFERROR(INDEX(Modelos!$D$2:$D$301,MATCH($B353,Modelos!$C$2:$C$301,0))&amp;"","")</f>
        <v/>
      </c>
      <c r="I353" s="7" t="str">
        <f>IFERROR(INDEX(Modelos!$E$2:$E$301,MATCH($B353,Modelos!$C$2:$C$301,0))&amp;"","")</f>
        <v/>
      </c>
      <c r="J353" s="7" t="str">
        <f>IFERROR(INDEX(Modelos!$F$2:$F$301,MATCH($B353,Modelos!$C$2:$C$301,0))&amp;"","")</f>
        <v/>
      </c>
      <c r="K353" s="7" t="str">
        <f>IFERROR(INDEX(Modelos!$G$2:$G$301,MATCH($B353,Modelos!$C$2:$C$301,0))&amp;"","")</f>
        <v/>
      </c>
      <c r="L353" s="7" t="str">
        <f>IFERROR(INDEX(Diccionarios!$G$2:$G$201,MATCH($C353,Diccionarios!$H$2:$H$201,0))&amp;"","")</f>
        <v/>
      </c>
      <c r="M353" s="7" t="str">
        <f>IF(D353="","",D353&amp;"")</f>
        <v/>
      </c>
      <c r="N353" s="8" t="str">
        <f>IF($B353="","",IFERROR(INDEX(Modelos!$H$2:$H$301,MATCH($B353,Modelos!$C$2:$C$301,0)),""))</f>
        <v/>
      </c>
      <c r="O353" s="8" t="str">
        <f>IF($B353="","",IFERROR(INDEX(Modelos!$I$2:$I$301,MATCH($B353,Modelos!$C$2:$C$301,0)),""))</f>
        <v/>
      </c>
      <c r="P353" s="8" t="str">
        <f>IF($B353="","",IFERROR(INDEX(Modelos!$J$2:$J$301,MATCH($B353,Modelos!$C$2:$C$301,0)),""))</f>
        <v/>
      </c>
      <c r="Q353" s="7" t="str">
        <f>IFERROR(INDEX(Diccionarios!$B$2:$B$201,MATCH($A353,Diccionarios!$D$2:$D$201,0))&amp;"","")</f>
        <v/>
      </c>
      <c r="R353" s="7" t="str">
        <f>IFERROR(INDEX(Diccionarios!$C$2:$C$201,MATCH($A353,Diccionarios!$D$2:$D$201,0))&amp;"","")</f>
        <v/>
      </c>
      <c r="S353" s="7" t="str">
        <f>IFERROR(INDEX(Modelos!$K$2:$K$301,MATCH($B353,Modelos!$C$2:$C$301,0))&amp;"","")</f>
        <v/>
      </c>
      <c r="T353" s="7" t="str">
        <f>IFERROR(INDEX(Modelos!$L$2:$L$301,MATCH($B353,Modelos!$C$2:$C$301,0))&amp;"","")</f>
        <v/>
      </c>
    </row>
    <row r="354" spans="1:20" x14ac:dyDescent="0.25">
      <c r="A354" s="5"/>
      <c r="B354" s="5"/>
      <c r="C354" s="5"/>
      <c r="D354" s="6"/>
      <c r="E354" s="5"/>
      <c r="F354" s="7" t="str">
        <f>IF(AND(A354&lt;&gt;"",B354&lt;&gt;"",C354&lt;&gt;"",D354&lt;&gt;""),LEFT(A354,2)&amp;LEFT(B354,4)&amp;LEFT(C354,2)&amp;SUBSTITUTE(UPPER(D354),"Ú","U"),"")</f>
        <v/>
      </c>
      <c r="G354" s="7" t="str">
        <f>IFERROR(INDEX(Modelos!$B$2:$B$301,MATCH($B354,Modelos!$C$2:$C$301,0))&amp;"","")</f>
        <v/>
      </c>
      <c r="H354" s="7" t="str">
        <f>IFERROR(INDEX(Modelos!$D$2:$D$301,MATCH($B354,Modelos!$C$2:$C$301,0))&amp;"","")</f>
        <v/>
      </c>
      <c r="I354" s="7" t="str">
        <f>IFERROR(INDEX(Modelos!$E$2:$E$301,MATCH($B354,Modelos!$C$2:$C$301,0))&amp;"","")</f>
        <v/>
      </c>
      <c r="J354" s="7" t="str">
        <f>IFERROR(INDEX(Modelos!$F$2:$F$301,MATCH($B354,Modelos!$C$2:$C$301,0))&amp;"","")</f>
        <v/>
      </c>
      <c r="K354" s="7" t="str">
        <f>IFERROR(INDEX(Modelos!$G$2:$G$301,MATCH($B354,Modelos!$C$2:$C$301,0))&amp;"","")</f>
        <v/>
      </c>
      <c r="L354" s="7" t="str">
        <f>IFERROR(INDEX(Diccionarios!$G$2:$G$201,MATCH($C354,Diccionarios!$H$2:$H$201,0))&amp;"","")</f>
        <v/>
      </c>
      <c r="M354" s="7" t="str">
        <f>IF(D354="","",D354&amp;"")</f>
        <v/>
      </c>
      <c r="N354" s="8" t="str">
        <f>IF($B354="","",IFERROR(INDEX(Modelos!$H$2:$H$301,MATCH($B354,Modelos!$C$2:$C$301,0)),""))</f>
        <v/>
      </c>
      <c r="O354" s="8" t="str">
        <f>IF($B354="","",IFERROR(INDEX(Modelos!$I$2:$I$301,MATCH($B354,Modelos!$C$2:$C$301,0)),""))</f>
        <v/>
      </c>
      <c r="P354" s="8" t="str">
        <f>IF($B354="","",IFERROR(INDEX(Modelos!$J$2:$J$301,MATCH($B354,Modelos!$C$2:$C$301,0)),""))</f>
        <v/>
      </c>
      <c r="Q354" s="7" t="str">
        <f>IFERROR(INDEX(Diccionarios!$B$2:$B$201,MATCH($A354,Diccionarios!$D$2:$D$201,0))&amp;"","")</f>
        <v/>
      </c>
      <c r="R354" s="7" t="str">
        <f>IFERROR(INDEX(Diccionarios!$C$2:$C$201,MATCH($A354,Diccionarios!$D$2:$D$201,0))&amp;"","")</f>
        <v/>
      </c>
      <c r="S354" s="7" t="str">
        <f>IFERROR(INDEX(Modelos!$K$2:$K$301,MATCH($B354,Modelos!$C$2:$C$301,0))&amp;"","")</f>
        <v/>
      </c>
      <c r="T354" s="7" t="str">
        <f>IFERROR(INDEX(Modelos!$L$2:$L$301,MATCH($B354,Modelos!$C$2:$C$301,0))&amp;"","")</f>
        <v/>
      </c>
    </row>
    <row r="355" spans="1:20" x14ac:dyDescent="0.25">
      <c r="A355" s="5"/>
      <c r="B355" s="5"/>
      <c r="C355" s="5"/>
      <c r="D355" s="6"/>
      <c r="E355" s="5"/>
      <c r="F355" s="7" t="str">
        <f>IF(AND(A355&lt;&gt;"",B355&lt;&gt;"",C355&lt;&gt;"",D355&lt;&gt;""),LEFT(A355,2)&amp;LEFT(B355,4)&amp;LEFT(C355,2)&amp;SUBSTITUTE(UPPER(D355),"Ú","U"),"")</f>
        <v/>
      </c>
      <c r="G355" s="7" t="str">
        <f>IFERROR(INDEX(Modelos!$B$2:$B$301,MATCH($B355,Modelos!$C$2:$C$301,0))&amp;"","")</f>
        <v/>
      </c>
      <c r="H355" s="7" t="str">
        <f>IFERROR(INDEX(Modelos!$D$2:$D$301,MATCH($B355,Modelos!$C$2:$C$301,0))&amp;"","")</f>
        <v/>
      </c>
      <c r="I355" s="7" t="str">
        <f>IFERROR(INDEX(Modelos!$E$2:$E$301,MATCH($B355,Modelos!$C$2:$C$301,0))&amp;"","")</f>
        <v/>
      </c>
      <c r="J355" s="7" t="str">
        <f>IFERROR(INDEX(Modelos!$F$2:$F$301,MATCH($B355,Modelos!$C$2:$C$301,0))&amp;"","")</f>
        <v/>
      </c>
      <c r="K355" s="7" t="str">
        <f>IFERROR(INDEX(Modelos!$G$2:$G$301,MATCH($B355,Modelos!$C$2:$C$301,0))&amp;"","")</f>
        <v/>
      </c>
      <c r="L355" s="7" t="str">
        <f>IFERROR(INDEX(Diccionarios!$G$2:$G$201,MATCH($C355,Diccionarios!$H$2:$H$201,0))&amp;"","")</f>
        <v/>
      </c>
      <c r="M355" s="7" t="str">
        <f>IF(D355="","",D355&amp;"")</f>
        <v/>
      </c>
      <c r="N355" s="8" t="str">
        <f>IF($B355="","",IFERROR(INDEX(Modelos!$H$2:$H$301,MATCH($B355,Modelos!$C$2:$C$301,0)),""))</f>
        <v/>
      </c>
      <c r="O355" s="8" t="str">
        <f>IF($B355="","",IFERROR(INDEX(Modelos!$I$2:$I$301,MATCH($B355,Modelos!$C$2:$C$301,0)),""))</f>
        <v/>
      </c>
      <c r="P355" s="8" t="str">
        <f>IF($B355="","",IFERROR(INDEX(Modelos!$J$2:$J$301,MATCH($B355,Modelos!$C$2:$C$301,0)),""))</f>
        <v/>
      </c>
      <c r="Q355" s="7" t="str">
        <f>IFERROR(INDEX(Diccionarios!$B$2:$B$201,MATCH($A355,Diccionarios!$D$2:$D$201,0))&amp;"","")</f>
        <v/>
      </c>
      <c r="R355" s="7" t="str">
        <f>IFERROR(INDEX(Diccionarios!$C$2:$C$201,MATCH($A355,Diccionarios!$D$2:$D$201,0))&amp;"","")</f>
        <v/>
      </c>
      <c r="S355" s="7" t="str">
        <f>IFERROR(INDEX(Modelos!$K$2:$K$301,MATCH($B355,Modelos!$C$2:$C$301,0))&amp;"","")</f>
        <v/>
      </c>
      <c r="T355" s="7" t="str">
        <f>IFERROR(INDEX(Modelos!$L$2:$L$301,MATCH($B355,Modelos!$C$2:$C$301,0))&amp;"","")</f>
        <v/>
      </c>
    </row>
    <row r="356" spans="1:20" x14ac:dyDescent="0.25">
      <c r="A356" s="5"/>
      <c r="B356" s="5"/>
      <c r="C356" s="5"/>
      <c r="D356" s="6"/>
      <c r="E356" s="5"/>
      <c r="F356" s="7" t="str">
        <f>IF(AND(A356&lt;&gt;"",B356&lt;&gt;"",C356&lt;&gt;"",D356&lt;&gt;""),LEFT(A356,2)&amp;LEFT(B356,4)&amp;LEFT(C356,2)&amp;SUBSTITUTE(UPPER(D356),"Ú","U"),"")</f>
        <v/>
      </c>
      <c r="G356" s="7" t="str">
        <f>IFERROR(INDEX(Modelos!$B$2:$B$301,MATCH($B356,Modelos!$C$2:$C$301,0))&amp;"","")</f>
        <v/>
      </c>
      <c r="H356" s="7" t="str">
        <f>IFERROR(INDEX(Modelos!$D$2:$D$301,MATCH($B356,Modelos!$C$2:$C$301,0))&amp;"","")</f>
        <v/>
      </c>
      <c r="I356" s="7" t="str">
        <f>IFERROR(INDEX(Modelos!$E$2:$E$301,MATCH($B356,Modelos!$C$2:$C$301,0))&amp;"","")</f>
        <v/>
      </c>
      <c r="J356" s="7" t="str">
        <f>IFERROR(INDEX(Modelos!$F$2:$F$301,MATCH($B356,Modelos!$C$2:$C$301,0))&amp;"","")</f>
        <v/>
      </c>
      <c r="K356" s="7" t="str">
        <f>IFERROR(INDEX(Modelos!$G$2:$G$301,MATCH($B356,Modelos!$C$2:$C$301,0))&amp;"","")</f>
        <v/>
      </c>
      <c r="L356" s="7" t="str">
        <f>IFERROR(INDEX(Diccionarios!$G$2:$G$201,MATCH($C356,Diccionarios!$H$2:$H$201,0))&amp;"","")</f>
        <v/>
      </c>
      <c r="M356" s="7" t="str">
        <f>IF(D356="","",D356&amp;"")</f>
        <v/>
      </c>
      <c r="N356" s="8" t="str">
        <f>IF($B356="","",IFERROR(INDEX(Modelos!$H$2:$H$301,MATCH($B356,Modelos!$C$2:$C$301,0)),""))</f>
        <v/>
      </c>
      <c r="O356" s="8" t="str">
        <f>IF($B356="","",IFERROR(INDEX(Modelos!$I$2:$I$301,MATCH($B356,Modelos!$C$2:$C$301,0)),""))</f>
        <v/>
      </c>
      <c r="P356" s="8" t="str">
        <f>IF($B356="","",IFERROR(INDEX(Modelos!$J$2:$J$301,MATCH($B356,Modelos!$C$2:$C$301,0)),""))</f>
        <v/>
      </c>
      <c r="Q356" s="7" t="str">
        <f>IFERROR(INDEX(Diccionarios!$B$2:$B$201,MATCH($A356,Diccionarios!$D$2:$D$201,0))&amp;"","")</f>
        <v/>
      </c>
      <c r="R356" s="7" t="str">
        <f>IFERROR(INDEX(Diccionarios!$C$2:$C$201,MATCH($A356,Diccionarios!$D$2:$D$201,0))&amp;"","")</f>
        <v/>
      </c>
      <c r="S356" s="7" t="str">
        <f>IFERROR(INDEX(Modelos!$K$2:$K$301,MATCH($B356,Modelos!$C$2:$C$301,0))&amp;"","")</f>
        <v/>
      </c>
      <c r="T356" s="7" t="str">
        <f>IFERROR(INDEX(Modelos!$L$2:$L$301,MATCH($B356,Modelos!$C$2:$C$301,0))&amp;"","")</f>
        <v/>
      </c>
    </row>
    <row r="357" spans="1:20" x14ac:dyDescent="0.25">
      <c r="A357" s="5"/>
      <c r="B357" s="5"/>
      <c r="C357" s="5"/>
      <c r="D357" s="6"/>
      <c r="E357" s="5"/>
      <c r="F357" s="7" t="str">
        <f>IF(AND(A357&lt;&gt;"",B357&lt;&gt;"",C357&lt;&gt;"",D357&lt;&gt;""),LEFT(A357,2)&amp;LEFT(B357,4)&amp;LEFT(C357,2)&amp;SUBSTITUTE(UPPER(D357),"Ú","U"),"")</f>
        <v/>
      </c>
      <c r="G357" s="7" t="str">
        <f>IFERROR(INDEX(Modelos!$B$2:$B$301,MATCH($B357,Modelos!$C$2:$C$301,0))&amp;"","")</f>
        <v/>
      </c>
      <c r="H357" s="7" t="str">
        <f>IFERROR(INDEX(Modelos!$D$2:$D$301,MATCH($B357,Modelos!$C$2:$C$301,0))&amp;"","")</f>
        <v/>
      </c>
      <c r="I357" s="7" t="str">
        <f>IFERROR(INDEX(Modelos!$E$2:$E$301,MATCH($B357,Modelos!$C$2:$C$301,0))&amp;"","")</f>
        <v/>
      </c>
      <c r="J357" s="7" t="str">
        <f>IFERROR(INDEX(Modelos!$F$2:$F$301,MATCH($B357,Modelos!$C$2:$C$301,0))&amp;"","")</f>
        <v/>
      </c>
      <c r="K357" s="7" t="str">
        <f>IFERROR(INDEX(Modelos!$G$2:$G$301,MATCH($B357,Modelos!$C$2:$C$301,0))&amp;"","")</f>
        <v/>
      </c>
      <c r="L357" s="7" t="str">
        <f>IFERROR(INDEX(Diccionarios!$G$2:$G$201,MATCH($C357,Diccionarios!$H$2:$H$201,0))&amp;"","")</f>
        <v/>
      </c>
      <c r="M357" s="7" t="str">
        <f>IF(D357="","",D357&amp;"")</f>
        <v/>
      </c>
      <c r="N357" s="8" t="str">
        <f>IF($B357="","",IFERROR(INDEX(Modelos!$H$2:$H$301,MATCH($B357,Modelos!$C$2:$C$301,0)),""))</f>
        <v/>
      </c>
      <c r="O357" s="8" t="str">
        <f>IF($B357="","",IFERROR(INDEX(Modelos!$I$2:$I$301,MATCH($B357,Modelos!$C$2:$C$301,0)),""))</f>
        <v/>
      </c>
      <c r="P357" s="8" t="str">
        <f>IF($B357="","",IFERROR(INDEX(Modelos!$J$2:$J$301,MATCH($B357,Modelos!$C$2:$C$301,0)),""))</f>
        <v/>
      </c>
      <c r="Q357" s="7" t="str">
        <f>IFERROR(INDEX(Diccionarios!$B$2:$B$201,MATCH($A357,Diccionarios!$D$2:$D$201,0))&amp;"","")</f>
        <v/>
      </c>
      <c r="R357" s="7" t="str">
        <f>IFERROR(INDEX(Diccionarios!$C$2:$C$201,MATCH($A357,Diccionarios!$D$2:$D$201,0))&amp;"","")</f>
        <v/>
      </c>
      <c r="S357" s="7" t="str">
        <f>IFERROR(INDEX(Modelos!$K$2:$K$301,MATCH($B357,Modelos!$C$2:$C$301,0))&amp;"","")</f>
        <v/>
      </c>
      <c r="T357" s="7" t="str">
        <f>IFERROR(INDEX(Modelos!$L$2:$L$301,MATCH($B357,Modelos!$C$2:$C$301,0))&amp;"","")</f>
        <v/>
      </c>
    </row>
    <row r="358" spans="1:20" x14ac:dyDescent="0.25">
      <c r="A358" s="5"/>
      <c r="B358" s="5"/>
      <c r="C358" s="5"/>
      <c r="D358" s="6"/>
      <c r="E358" s="5"/>
      <c r="F358" s="7" t="str">
        <f>IF(AND(A358&lt;&gt;"",B358&lt;&gt;"",C358&lt;&gt;"",D358&lt;&gt;""),LEFT(A358,2)&amp;LEFT(B358,4)&amp;LEFT(C358,2)&amp;SUBSTITUTE(UPPER(D358),"Ú","U"),"")</f>
        <v/>
      </c>
      <c r="G358" s="7" t="str">
        <f>IFERROR(INDEX(Modelos!$B$2:$B$301,MATCH($B358,Modelos!$C$2:$C$301,0))&amp;"","")</f>
        <v/>
      </c>
      <c r="H358" s="7" t="str">
        <f>IFERROR(INDEX(Modelos!$D$2:$D$301,MATCH($B358,Modelos!$C$2:$C$301,0))&amp;"","")</f>
        <v/>
      </c>
      <c r="I358" s="7" t="str">
        <f>IFERROR(INDEX(Modelos!$E$2:$E$301,MATCH($B358,Modelos!$C$2:$C$301,0))&amp;"","")</f>
        <v/>
      </c>
      <c r="J358" s="7" t="str">
        <f>IFERROR(INDEX(Modelos!$F$2:$F$301,MATCH($B358,Modelos!$C$2:$C$301,0))&amp;"","")</f>
        <v/>
      </c>
      <c r="K358" s="7" t="str">
        <f>IFERROR(INDEX(Modelos!$G$2:$G$301,MATCH($B358,Modelos!$C$2:$C$301,0))&amp;"","")</f>
        <v/>
      </c>
      <c r="L358" s="7" t="str">
        <f>IFERROR(INDEX(Diccionarios!$G$2:$G$201,MATCH($C358,Diccionarios!$H$2:$H$201,0))&amp;"","")</f>
        <v/>
      </c>
      <c r="M358" s="7" t="str">
        <f>IF(D358="","",D358&amp;"")</f>
        <v/>
      </c>
      <c r="N358" s="8" t="str">
        <f>IF($B358="","",IFERROR(INDEX(Modelos!$H$2:$H$301,MATCH($B358,Modelos!$C$2:$C$301,0)),""))</f>
        <v/>
      </c>
      <c r="O358" s="8" t="str">
        <f>IF($B358="","",IFERROR(INDEX(Modelos!$I$2:$I$301,MATCH($B358,Modelos!$C$2:$C$301,0)),""))</f>
        <v/>
      </c>
      <c r="P358" s="8" t="str">
        <f>IF($B358="","",IFERROR(INDEX(Modelos!$J$2:$J$301,MATCH($B358,Modelos!$C$2:$C$301,0)),""))</f>
        <v/>
      </c>
      <c r="Q358" s="7" t="str">
        <f>IFERROR(INDEX(Diccionarios!$B$2:$B$201,MATCH($A358,Diccionarios!$D$2:$D$201,0))&amp;"","")</f>
        <v/>
      </c>
      <c r="R358" s="7" t="str">
        <f>IFERROR(INDEX(Diccionarios!$C$2:$C$201,MATCH($A358,Diccionarios!$D$2:$D$201,0))&amp;"","")</f>
        <v/>
      </c>
      <c r="S358" s="7" t="str">
        <f>IFERROR(INDEX(Modelos!$K$2:$K$301,MATCH($B358,Modelos!$C$2:$C$301,0))&amp;"","")</f>
        <v/>
      </c>
      <c r="T358" s="7" t="str">
        <f>IFERROR(INDEX(Modelos!$L$2:$L$301,MATCH($B358,Modelos!$C$2:$C$301,0))&amp;"","")</f>
        <v/>
      </c>
    </row>
    <row r="359" spans="1:20" x14ac:dyDescent="0.25">
      <c r="A359" s="5"/>
      <c r="B359" s="5"/>
      <c r="C359" s="5"/>
      <c r="D359" s="6"/>
      <c r="E359" s="5"/>
      <c r="F359" s="7" t="str">
        <f>IF(AND(A359&lt;&gt;"",B359&lt;&gt;"",C359&lt;&gt;"",D359&lt;&gt;""),LEFT(A359,2)&amp;LEFT(B359,4)&amp;LEFT(C359,2)&amp;SUBSTITUTE(UPPER(D359),"Ú","U"),"")</f>
        <v/>
      </c>
      <c r="G359" s="7" t="str">
        <f>IFERROR(INDEX(Modelos!$B$2:$B$301,MATCH($B359,Modelos!$C$2:$C$301,0))&amp;"","")</f>
        <v/>
      </c>
      <c r="H359" s="7" t="str">
        <f>IFERROR(INDEX(Modelos!$D$2:$D$301,MATCH($B359,Modelos!$C$2:$C$301,0))&amp;"","")</f>
        <v/>
      </c>
      <c r="I359" s="7" t="str">
        <f>IFERROR(INDEX(Modelos!$E$2:$E$301,MATCH($B359,Modelos!$C$2:$C$301,0))&amp;"","")</f>
        <v/>
      </c>
      <c r="J359" s="7" t="str">
        <f>IFERROR(INDEX(Modelos!$F$2:$F$301,MATCH($B359,Modelos!$C$2:$C$301,0))&amp;"","")</f>
        <v/>
      </c>
      <c r="K359" s="7" t="str">
        <f>IFERROR(INDEX(Modelos!$G$2:$G$301,MATCH($B359,Modelos!$C$2:$C$301,0))&amp;"","")</f>
        <v/>
      </c>
      <c r="L359" s="7" t="str">
        <f>IFERROR(INDEX(Diccionarios!$G$2:$G$201,MATCH($C359,Diccionarios!$H$2:$H$201,0))&amp;"","")</f>
        <v/>
      </c>
      <c r="M359" s="7" t="str">
        <f>IF(D359="","",D359&amp;"")</f>
        <v/>
      </c>
      <c r="N359" s="8" t="str">
        <f>IF($B359="","",IFERROR(INDEX(Modelos!$H$2:$H$301,MATCH($B359,Modelos!$C$2:$C$301,0)),""))</f>
        <v/>
      </c>
      <c r="O359" s="8" t="str">
        <f>IF($B359="","",IFERROR(INDEX(Modelos!$I$2:$I$301,MATCH($B359,Modelos!$C$2:$C$301,0)),""))</f>
        <v/>
      </c>
      <c r="P359" s="8" t="str">
        <f>IF($B359="","",IFERROR(INDEX(Modelos!$J$2:$J$301,MATCH($B359,Modelos!$C$2:$C$301,0)),""))</f>
        <v/>
      </c>
      <c r="Q359" s="7" t="str">
        <f>IFERROR(INDEX(Diccionarios!$B$2:$B$201,MATCH($A359,Diccionarios!$D$2:$D$201,0))&amp;"","")</f>
        <v/>
      </c>
      <c r="R359" s="7" t="str">
        <f>IFERROR(INDEX(Diccionarios!$C$2:$C$201,MATCH($A359,Diccionarios!$D$2:$D$201,0))&amp;"","")</f>
        <v/>
      </c>
      <c r="S359" s="7" t="str">
        <f>IFERROR(INDEX(Modelos!$K$2:$K$301,MATCH($B359,Modelos!$C$2:$C$301,0))&amp;"","")</f>
        <v/>
      </c>
      <c r="T359" s="7" t="str">
        <f>IFERROR(INDEX(Modelos!$L$2:$L$301,MATCH($B359,Modelos!$C$2:$C$301,0))&amp;"","")</f>
        <v/>
      </c>
    </row>
    <row r="360" spans="1:20" x14ac:dyDescent="0.25">
      <c r="A360" s="5"/>
      <c r="B360" s="5"/>
      <c r="C360" s="5"/>
      <c r="D360" s="6"/>
      <c r="E360" s="5"/>
      <c r="F360" s="7" t="str">
        <f>IF(AND(A360&lt;&gt;"",B360&lt;&gt;"",C360&lt;&gt;"",D360&lt;&gt;""),LEFT(A360,2)&amp;LEFT(B360,4)&amp;LEFT(C360,2)&amp;SUBSTITUTE(UPPER(D360),"Ú","U"),"")</f>
        <v/>
      </c>
      <c r="G360" s="7" t="str">
        <f>IFERROR(INDEX(Modelos!$B$2:$B$301,MATCH($B360,Modelos!$C$2:$C$301,0))&amp;"","")</f>
        <v/>
      </c>
      <c r="H360" s="7" t="str">
        <f>IFERROR(INDEX(Modelos!$D$2:$D$301,MATCH($B360,Modelos!$C$2:$C$301,0))&amp;"","")</f>
        <v/>
      </c>
      <c r="I360" s="7" t="str">
        <f>IFERROR(INDEX(Modelos!$E$2:$E$301,MATCH($B360,Modelos!$C$2:$C$301,0))&amp;"","")</f>
        <v/>
      </c>
      <c r="J360" s="7" t="str">
        <f>IFERROR(INDEX(Modelos!$F$2:$F$301,MATCH($B360,Modelos!$C$2:$C$301,0))&amp;"","")</f>
        <v/>
      </c>
      <c r="K360" s="7" t="str">
        <f>IFERROR(INDEX(Modelos!$G$2:$G$301,MATCH($B360,Modelos!$C$2:$C$301,0))&amp;"","")</f>
        <v/>
      </c>
      <c r="L360" s="7" t="str">
        <f>IFERROR(INDEX(Diccionarios!$G$2:$G$201,MATCH($C360,Diccionarios!$H$2:$H$201,0))&amp;"","")</f>
        <v/>
      </c>
      <c r="M360" s="7" t="str">
        <f>IF(D360="","",D360&amp;"")</f>
        <v/>
      </c>
      <c r="N360" s="8" t="str">
        <f>IF($B360="","",IFERROR(INDEX(Modelos!$H$2:$H$301,MATCH($B360,Modelos!$C$2:$C$301,0)),""))</f>
        <v/>
      </c>
      <c r="O360" s="8" t="str">
        <f>IF($B360="","",IFERROR(INDEX(Modelos!$I$2:$I$301,MATCH($B360,Modelos!$C$2:$C$301,0)),""))</f>
        <v/>
      </c>
      <c r="P360" s="8" t="str">
        <f>IF($B360="","",IFERROR(INDEX(Modelos!$J$2:$J$301,MATCH($B360,Modelos!$C$2:$C$301,0)),""))</f>
        <v/>
      </c>
      <c r="Q360" s="7" t="str">
        <f>IFERROR(INDEX(Diccionarios!$B$2:$B$201,MATCH($A360,Diccionarios!$D$2:$D$201,0))&amp;"","")</f>
        <v/>
      </c>
      <c r="R360" s="7" t="str">
        <f>IFERROR(INDEX(Diccionarios!$C$2:$C$201,MATCH($A360,Diccionarios!$D$2:$D$201,0))&amp;"","")</f>
        <v/>
      </c>
      <c r="S360" s="7" t="str">
        <f>IFERROR(INDEX(Modelos!$K$2:$K$301,MATCH($B360,Modelos!$C$2:$C$301,0))&amp;"","")</f>
        <v/>
      </c>
      <c r="T360" s="7" t="str">
        <f>IFERROR(INDEX(Modelos!$L$2:$L$301,MATCH($B360,Modelos!$C$2:$C$301,0))&amp;"","")</f>
        <v/>
      </c>
    </row>
    <row r="361" spans="1:20" x14ac:dyDescent="0.25">
      <c r="A361" s="5"/>
      <c r="B361" s="5"/>
      <c r="C361" s="5"/>
      <c r="D361" s="6"/>
      <c r="E361" s="5"/>
      <c r="F361" s="7" t="str">
        <f>IF(AND(A361&lt;&gt;"",B361&lt;&gt;"",C361&lt;&gt;"",D361&lt;&gt;""),LEFT(A361,2)&amp;LEFT(B361,4)&amp;LEFT(C361,2)&amp;SUBSTITUTE(UPPER(D361),"Ú","U"),"")</f>
        <v/>
      </c>
      <c r="G361" s="7" t="str">
        <f>IFERROR(INDEX(Modelos!$B$2:$B$301,MATCH($B361,Modelos!$C$2:$C$301,0))&amp;"","")</f>
        <v/>
      </c>
      <c r="H361" s="7" t="str">
        <f>IFERROR(INDEX(Modelos!$D$2:$D$301,MATCH($B361,Modelos!$C$2:$C$301,0))&amp;"","")</f>
        <v/>
      </c>
      <c r="I361" s="7" t="str">
        <f>IFERROR(INDEX(Modelos!$E$2:$E$301,MATCH($B361,Modelos!$C$2:$C$301,0))&amp;"","")</f>
        <v/>
      </c>
      <c r="J361" s="7" t="str">
        <f>IFERROR(INDEX(Modelos!$F$2:$F$301,MATCH($B361,Modelos!$C$2:$C$301,0))&amp;"","")</f>
        <v/>
      </c>
      <c r="K361" s="7" t="str">
        <f>IFERROR(INDEX(Modelos!$G$2:$G$301,MATCH($B361,Modelos!$C$2:$C$301,0))&amp;"","")</f>
        <v/>
      </c>
      <c r="L361" s="7" t="str">
        <f>IFERROR(INDEX(Diccionarios!$G$2:$G$201,MATCH($C361,Diccionarios!$H$2:$H$201,0))&amp;"","")</f>
        <v/>
      </c>
      <c r="M361" s="7" t="str">
        <f>IF(D361="","",D361&amp;"")</f>
        <v/>
      </c>
      <c r="N361" s="8" t="str">
        <f>IF($B361="","",IFERROR(INDEX(Modelos!$H$2:$H$301,MATCH($B361,Modelos!$C$2:$C$301,0)),""))</f>
        <v/>
      </c>
      <c r="O361" s="8" t="str">
        <f>IF($B361="","",IFERROR(INDEX(Modelos!$I$2:$I$301,MATCH($B361,Modelos!$C$2:$C$301,0)),""))</f>
        <v/>
      </c>
      <c r="P361" s="8" t="str">
        <f>IF($B361="","",IFERROR(INDEX(Modelos!$J$2:$J$301,MATCH($B361,Modelos!$C$2:$C$301,0)),""))</f>
        <v/>
      </c>
      <c r="Q361" s="7" t="str">
        <f>IFERROR(INDEX(Diccionarios!$B$2:$B$201,MATCH($A361,Diccionarios!$D$2:$D$201,0))&amp;"","")</f>
        <v/>
      </c>
      <c r="R361" s="7" t="str">
        <f>IFERROR(INDEX(Diccionarios!$C$2:$C$201,MATCH($A361,Diccionarios!$D$2:$D$201,0))&amp;"","")</f>
        <v/>
      </c>
      <c r="S361" s="7" t="str">
        <f>IFERROR(INDEX(Modelos!$K$2:$K$301,MATCH($B361,Modelos!$C$2:$C$301,0))&amp;"","")</f>
        <v/>
      </c>
      <c r="T361" s="7" t="str">
        <f>IFERROR(INDEX(Modelos!$L$2:$L$301,MATCH($B361,Modelos!$C$2:$C$301,0))&amp;"","")</f>
        <v/>
      </c>
    </row>
    <row r="362" spans="1:20" x14ac:dyDescent="0.25">
      <c r="A362" s="5"/>
      <c r="B362" s="5"/>
      <c r="C362" s="5"/>
      <c r="D362" s="6"/>
      <c r="E362" s="5"/>
      <c r="F362" s="7" t="str">
        <f>IF(AND(A362&lt;&gt;"",B362&lt;&gt;"",C362&lt;&gt;"",D362&lt;&gt;""),LEFT(A362,2)&amp;LEFT(B362,4)&amp;LEFT(C362,2)&amp;SUBSTITUTE(UPPER(D362),"Ú","U"),"")</f>
        <v/>
      </c>
      <c r="G362" s="7" t="str">
        <f>IFERROR(INDEX(Modelos!$B$2:$B$301,MATCH($B362,Modelos!$C$2:$C$301,0))&amp;"","")</f>
        <v/>
      </c>
      <c r="H362" s="7" t="str">
        <f>IFERROR(INDEX(Modelos!$D$2:$D$301,MATCH($B362,Modelos!$C$2:$C$301,0))&amp;"","")</f>
        <v/>
      </c>
      <c r="I362" s="7" t="str">
        <f>IFERROR(INDEX(Modelos!$E$2:$E$301,MATCH($B362,Modelos!$C$2:$C$301,0))&amp;"","")</f>
        <v/>
      </c>
      <c r="J362" s="7" t="str">
        <f>IFERROR(INDEX(Modelos!$F$2:$F$301,MATCH($B362,Modelos!$C$2:$C$301,0))&amp;"","")</f>
        <v/>
      </c>
      <c r="K362" s="7" t="str">
        <f>IFERROR(INDEX(Modelos!$G$2:$G$301,MATCH($B362,Modelos!$C$2:$C$301,0))&amp;"","")</f>
        <v/>
      </c>
      <c r="L362" s="7" t="str">
        <f>IFERROR(INDEX(Diccionarios!$G$2:$G$201,MATCH($C362,Diccionarios!$H$2:$H$201,0))&amp;"","")</f>
        <v/>
      </c>
      <c r="M362" s="7" t="str">
        <f>IF(D362="","",D362&amp;"")</f>
        <v/>
      </c>
      <c r="N362" s="8" t="str">
        <f>IF($B362="","",IFERROR(INDEX(Modelos!$H$2:$H$301,MATCH($B362,Modelos!$C$2:$C$301,0)),""))</f>
        <v/>
      </c>
      <c r="O362" s="8" t="str">
        <f>IF($B362="","",IFERROR(INDEX(Modelos!$I$2:$I$301,MATCH($B362,Modelos!$C$2:$C$301,0)),""))</f>
        <v/>
      </c>
      <c r="P362" s="8" t="str">
        <f>IF($B362="","",IFERROR(INDEX(Modelos!$J$2:$J$301,MATCH($B362,Modelos!$C$2:$C$301,0)),""))</f>
        <v/>
      </c>
      <c r="Q362" s="7" t="str">
        <f>IFERROR(INDEX(Diccionarios!$B$2:$B$201,MATCH($A362,Diccionarios!$D$2:$D$201,0))&amp;"","")</f>
        <v/>
      </c>
      <c r="R362" s="7" t="str">
        <f>IFERROR(INDEX(Diccionarios!$C$2:$C$201,MATCH($A362,Diccionarios!$D$2:$D$201,0))&amp;"","")</f>
        <v/>
      </c>
      <c r="S362" s="7" t="str">
        <f>IFERROR(INDEX(Modelos!$K$2:$K$301,MATCH($B362,Modelos!$C$2:$C$301,0))&amp;"","")</f>
        <v/>
      </c>
      <c r="T362" s="7" t="str">
        <f>IFERROR(INDEX(Modelos!$L$2:$L$301,MATCH($B362,Modelos!$C$2:$C$301,0))&amp;"","")</f>
        <v/>
      </c>
    </row>
    <row r="363" spans="1:20" x14ac:dyDescent="0.25">
      <c r="A363" s="5"/>
      <c r="B363" s="5"/>
      <c r="C363" s="5"/>
      <c r="D363" s="6"/>
      <c r="E363" s="5"/>
      <c r="F363" s="7" t="str">
        <f>IF(AND(A363&lt;&gt;"",B363&lt;&gt;"",C363&lt;&gt;"",D363&lt;&gt;""),LEFT(A363,2)&amp;LEFT(B363,4)&amp;LEFT(C363,2)&amp;SUBSTITUTE(UPPER(D363),"Ú","U"),"")</f>
        <v/>
      </c>
      <c r="G363" s="7" t="str">
        <f>IFERROR(INDEX(Modelos!$B$2:$B$301,MATCH($B363,Modelos!$C$2:$C$301,0))&amp;"","")</f>
        <v/>
      </c>
      <c r="H363" s="7" t="str">
        <f>IFERROR(INDEX(Modelos!$D$2:$D$301,MATCH($B363,Modelos!$C$2:$C$301,0))&amp;"","")</f>
        <v/>
      </c>
      <c r="I363" s="7" t="str">
        <f>IFERROR(INDEX(Modelos!$E$2:$E$301,MATCH($B363,Modelos!$C$2:$C$301,0))&amp;"","")</f>
        <v/>
      </c>
      <c r="J363" s="7" t="str">
        <f>IFERROR(INDEX(Modelos!$F$2:$F$301,MATCH($B363,Modelos!$C$2:$C$301,0))&amp;"","")</f>
        <v/>
      </c>
      <c r="K363" s="7" t="str">
        <f>IFERROR(INDEX(Modelos!$G$2:$G$301,MATCH($B363,Modelos!$C$2:$C$301,0))&amp;"","")</f>
        <v/>
      </c>
      <c r="L363" s="7" t="str">
        <f>IFERROR(INDEX(Diccionarios!$G$2:$G$201,MATCH($C363,Diccionarios!$H$2:$H$201,0))&amp;"","")</f>
        <v/>
      </c>
      <c r="M363" s="7" t="str">
        <f>IF(D363="","",D363&amp;"")</f>
        <v/>
      </c>
      <c r="N363" s="8" t="str">
        <f>IF($B363="","",IFERROR(INDEX(Modelos!$H$2:$H$301,MATCH($B363,Modelos!$C$2:$C$301,0)),""))</f>
        <v/>
      </c>
      <c r="O363" s="8" t="str">
        <f>IF($B363="","",IFERROR(INDEX(Modelos!$I$2:$I$301,MATCH($B363,Modelos!$C$2:$C$301,0)),""))</f>
        <v/>
      </c>
      <c r="P363" s="8" t="str">
        <f>IF($B363="","",IFERROR(INDEX(Modelos!$J$2:$J$301,MATCH($B363,Modelos!$C$2:$C$301,0)),""))</f>
        <v/>
      </c>
      <c r="Q363" s="7" t="str">
        <f>IFERROR(INDEX(Diccionarios!$B$2:$B$201,MATCH($A363,Diccionarios!$D$2:$D$201,0))&amp;"","")</f>
        <v/>
      </c>
      <c r="R363" s="7" t="str">
        <f>IFERROR(INDEX(Diccionarios!$C$2:$C$201,MATCH($A363,Diccionarios!$D$2:$D$201,0))&amp;"","")</f>
        <v/>
      </c>
      <c r="S363" s="7" t="str">
        <f>IFERROR(INDEX(Modelos!$K$2:$K$301,MATCH($B363,Modelos!$C$2:$C$301,0))&amp;"","")</f>
        <v/>
      </c>
      <c r="T363" s="7" t="str">
        <f>IFERROR(INDEX(Modelos!$L$2:$L$301,MATCH($B363,Modelos!$C$2:$C$301,0))&amp;"","")</f>
        <v/>
      </c>
    </row>
    <row r="364" spans="1:20" x14ac:dyDescent="0.25">
      <c r="A364" s="5"/>
      <c r="B364" s="5"/>
      <c r="C364" s="5"/>
      <c r="D364" s="6"/>
      <c r="E364" s="5"/>
      <c r="F364" s="7" t="str">
        <f>IF(AND(A364&lt;&gt;"",B364&lt;&gt;"",C364&lt;&gt;"",D364&lt;&gt;""),LEFT(A364,2)&amp;LEFT(B364,4)&amp;LEFT(C364,2)&amp;SUBSTITUTE(UPPER(D364),"Ú","U"),"")</f>
        <v/>
      </c>
      <c r="G364" s="7" t="str">
        <f>IFERROR(INDEX(Modelos!$B$2:$B$301,MATCH($B364,Modelos!$C$2:$C$301,0))&amp;"","")</f>
        <v/>
      </c>
      <c r="H364" s="7" t="str">
        <f>IFERROR(INDEX(Modelos!$D$2:$D$301,MATCH($B364,Modelos!$C$2:$C$301,0))&amp;"","")</f>
        <v/>
      </c>
      <c r="I364" s="7" t="str">
        <f>IFERROR(INDEX(Modelos!$E$2:$E$301,MATCH($B364,Modelos!$C$2:$C$301,0))&amp;"","")</f>
        <v/>
      </c>
      <c r="J364" s="7" t="str">
        <f>IFERROR(INDEX(Modelos!$F$2:$F$301,MATCH($B364,Modelos!$C$2:$C$301,0))&amp;"","")</f>
        <v/>
      </c>
      <c r="K364" s="7" t="str">
        <f>IFERROR(INDEX(Modelos!$G$2:$G$301,MATCH($B364,Modelos!$C$2:$C$301,0))&amp;"","")</f>
        <v/>
      </c>
      <c r="L364" s="7" t="str">
        <f>IFERROR(INDEX(Diccionarios!$G$2:$G$201,MATCH($C364,Diccionarios!$H$2:$H$201,0))&amp;"","")</f>
        <v/>
      </c>
      <c r="M364" s="7" t="str">
        <f>IF(D364="","",D364&amp;"")</f>
        <v/>
      </c>
      <c r="N364" s="8" t="str">
        <f>IF($B364="","",IFERROR(INDEX(Modelos!$H$2:$H$301,MATCH($B364,Modelos!$C$2:$C$301,0)),""))</f>
        <v/>
      </c>
      <c r="O364" s="8" t="str">
        <f>IF($B364="","",IFERROR(INDEX(Modelos!$I$2:$I$301,MATCH($B364,Modelos!$C$2:$C$301,0)),""))</f>
        <v/>
      </c>
      <c r="P364" s="8" t="str">
        <f>IF($B364="","",IFERROR(INDEX(Modelos!$J$2:$J$301,MATCH($B364,Modelos!$C$2:$C$301,0)),""))</f>
        <v/>
      </c>
      <c r="Q364" s="7" t="str">
        <f>IFERROR(INDEX(Diccionarios!$B$2:$B$201,MATCH($A364,Diccionarios!$D$2:$D$201,0))&amp;"","")</f>
        <v/>
      </c>
      <c r="R364" s="7" t="str">
        <f>IFERROR(INDEX(Diccionarios!$C$2:$C$201,MATCH($A364,Diccionarios!$D$2:$D$201,0))&amp;"","")</f>
        <v/>
      </c>
      <c r="S364" s="7" t="str">
        <f>IFERROR(INDEX(Modelos!$K$2:$K$301,MATCH($B364,Modelos!$C$2:$C$301,0))&amp;"","")</f>
        <v/>
      </c>
      <c r="T364" s="7" t="str">
        <f>IFERROR(INDEX(Modelos!$L$2:$L$301,MATCH($B364,Modelos!$C$2:$C$301,0))&amp;"","")</f>
        <v/>
      </c>
    </row>
    <row r="365" spans="1:20" x14ac:dyDescent="0.25">
      <c r="A365" s="5"/>
      <c r="B365" s="5"/>
      <c r="C365" s="5"/>
      <c r="D365" s="6"/>
      <c r="E365" s="5"/>
      <c r="F365" s="7" t="str">
        <f>IF(AND(A365&lt;&gt;"",B365&lt;&gt;"",C365&lt;&gt;"",D365&lt;&gt;""),LEFT(A365,2)&amp;LEFT(B365,4)&amp;LEFT(C365,2)&amp;SUBSTITUTE(UPPER(D365),"Ú","U"),"")</f>
        <v/>
      </c>
      <c r="G365" s="7" t="str">
        <f>IFERROR(INDEX(Modelos!$B$2:$B$301,MATCH($B365,Modelos!$C$2:$C$301,0))&amp;"","")</f>
        <v/>
      </c>
      <c r="H365" s="7" t="str">
        <f>IFERROR(INDEX(Modelos!$D$2:$D$301,MATCH($B365,Modelos!$C$2:$C$301,0))&amp;"","")</f>
        <v/>
      </c>
      <c r="I365" s="7" t="str">
        <f>IFERROR(INDEX(Modelos!$E$2:$E$301,MATCH($B365,Modelos!$C$2:$C$301,0))&amp;"","")</f>
        <v/>
      </c>
      <c r="J365" s="7" t="str">
        <f>IFERROR(INDEX(Modelos!$F$2:$F$301,MATCH($B365,Modelos!$C$2:$C$301,0))&amp;"","")</f>
        <v/>
      </c>
      <c r="K365" s="7" t="str">
        <f>IFERROR(INDEX(Modelos!$G$2:$G$301,MATCH($B365,Modelos!$C$2:$C$301,0))&amp;"","")</f>
        <v/>
      </c>
      <c r="L365" s="7" t="str">
        <f>IFERROR(INDEX(Diccionarios!$G$2:$G$201,MATCH($C365,Diccionarios!$H$2:$H$201,0))&amp;"","")</f>
        <v/>
      </c>
      <c r="M365" s="7" t="str">
        <f>IF(D365="","",D365&amp;"")</f>
        <v/>
      </c>
      <c r="N365" s="8" t="str">
        <f>IF($B365="","",IFERROR(INDEX(Modelos!$H$2:$H$301,MATCH($B365,Modelos!$C$2:$C$301,0)),""))</f>
        <v/>
      </c>
      <c r="O365" s="8" t="str">
        <f>IF($B365="","",IFERROR(INDEX(Modelos!$I$2:$I$301,MATCH($B365,Modelos!$C$2:$C$301,0)),""))</f>
        <v/>
      </c>
      <c r="P365" s="8" t="str">
        <f>IF($B365="","",IFERROR(INDEX(Modelos!$J$2:$J$301,MATCH($B365,Modelos!$C$2:$C$301,0)),""))</f>
        <v/>
      </c>
      <c r="Q365" s="7" t="str">
        <f>IFERROR(INDEX(Diccionarios!$B$2:$B$201,MATCH($A365,Diccionarios!$D$2:$D$201,0))&amp;"","")</f>
        <v/>
      </c>
      <c r="R365" s="7" t="str">
        <f>IFERROR(INDEX(Diccionarios!$C$2:$C$201,MATCH($A365,Diccionarios!$D$2:$D$201,0))&amp;"","")</f>
        <v/>
      </c>
      <c r="S365" s="7" t="str">
        <f>IFERROR(INDEX(Modelos!$K$2:$K$301,MATCH($B365,Modelos!$C$2:$C$301,0))&amp;"","")</f>
        <v/>
      </c>
      <c r="T365" s="7" t="str">
        <f>IFERROR(INDEX(Modelos!$L$2:$L$301,MATCH($B365,Modelos!$C$2:$C$301,0))&amp;"","")</f>
        <v/>
      </c>
    </row>
    <row r="366" spans="1:20" x14ac:dyDescent="0.25">
      <c r="A366" s="5"/>
      <c r="B366" s="5"/>
      <c r="C366" s="5"/>
      <c r="D366" s="6"/>
      <c r="E366" s="5"/>
      <c r="F366" s="7" t="str">
        <f>IF(AND(A366&lt;&gt;"",B366&lt;&gt;"",C366&lt;&gt;"",D366&lt;&gt;""),LEFT(A366,2)&amp;LEFT(B366,4)&amp;LEFT(C366,2)&amp;SUBSTITUTE(UPPER(D366),"Ú","U"),"")</f>
        <v/>
      </c>
      <c r="G366" s="7" t="str">
        <f>IFERROR(INDEX(Modelos!$B$2:$B$301,MATCH($B366,Modelos!$C$2:$C$301,0))&amp;"","")</f>
        <v/>
      </c>
      <c r="H366" s="7" t="str">
        <f>IFERROR(INDEX(Modelos!$D$2:$D$301,MATCH($B366,Modelos!$C$2:$C$301,0))&amp;"","")</f>
        <v/>
      </c>
      <c r="I366" s="7" t="str">
        <f>IFERROR(INDEX(Modelos!$E$2:$E$301,MATCH($B366,Modelos!$C$2:$C$301,0))&amp;"","")</f>
        <v/>
      </c>
      <c r="J366" s="7" t="str">
        <f>IFERROR(INDEX(Modelos!$F$2:$F$301,MATCH($B366,Modelos!$C$2:$C$301,0))&amp;"","")</f>
        <v/>
      </c>
      <c r="K366" s="7" t="str">
        <f>IFERROR(INDEX(Modelos!$G$2:$G$301,MATCH($B366,Modelos!$C$2:$C$301,0))&amp;"","")</f>
        <v/>
      </c>
      <c r="L366" s="7" t="str">
        <f>IFERROR(INDEX(Diccionarios!$G$2:$G$201,MATCH($C366,Diccionarios!$H$2:$H$201,0))&amp;"","")</f>
        <v/>
      </c>
      <c r="M366" s="7" t="str">
        <f>IF(D366="","",D366&amp;"")</f>
        <v/>
      </c>
      <c r="N366" s="8" t="str">
        <f>IF($B366="","",IFERROR(INDEX(Modelos!$H$2:$H$301,MATCH($B366,Modelos!$C$2:$C$301,0)),""))</f>
        <v/>
      </c>
      <c r="O366" s="8" t="str">
        <f>IF($B366="","",IFERROR(INDEX(Modelos!$I$2:$I$301,MATCH($B366,Modelos!$C$2:$C$301,0)),""))</f>
        <v/>
      </c>
      <c r="P366" s="8" t="str">
        <f>IF($B366="","",IFERROR(INDEX(Modelos!$J$2:$J$301,MATCH($B366,Modelos!$C$2:$C$301,0)),""))</f>
        <v/>
      </c>
      <c r="Q366" s="7" t="str">
        <f>IFERROR(INDEX(Diccionarios!$B$2:$B$201,MATCH($A366,Diccionarios!$D$2:$D$201,0))&amp;"","")</f>
        <v/>
      </c>
      <c r="R366" s="7" t="str">
        <f>IFERROR(INDEX(Diccionarios!$C$2:$C$201,MATCH($A366,Diccionarios!$D$2:$D$201,0))&amp;"","")</f>
        <v/>
      </c>
      <c r="S366" s="7" t="str">
        <f>IFERROR(INDEX(Modelos!$K$2:$K$301,MATCH($B366,Modelos!$C$2:$C$301,0))&amp;"","")</f>
        <v/>
      </c>
      <c r="T366" s="7" t="str">
        <f>IFERROR(INDEX(Modelos!$L$2:$L$301,MATCH($B366,Modelos!$C$2:$C$301,0))&amp;"","")</f>
        <v/>
      </c>
    </row>
    <row r="367" spans="1:20" x14ac:dyDescent="0.25">
      <c r="A367" s="5"/>
      <c r="B367" s="5"/>
      <c r="C367" s="5"/>
      <c r="D367" s="6"/>
      <c r="E367" s="5"/>
      <c r="F367" s="7" t="str">
        <f>IF(AND(A367&lt;&gt;"",B367&lt;&gt;"",C367&lt;&gt;"",D367&lt;&gt;""),LEFT(A367,2)&amp;LEFT(B367,4)&amp;LEFT(C367,2)&amp;SUBSTITUTE(UPPER(D367),"Ú","U"),"")</f>
        <v/>
      </c>
      <c r="G367" s="7" t="str">
        <f>IFERROR(INDEX(Modelos!$B$2:$B$301,MATCH($B367,Modelos!$C$2:$C$301,0))&amp;"","")</f>
        <v/>
      </c>
      <c r="H367" s="7" t="str">
        <f>IFERROR(INDEX(Modelos!$D$2:$D$301,MATCH($B367,Modelos!$C$2:$C$301,0))&amp;"","")</f>
        <v/>
      </c>
      <c r="I367" s="7" t="str">
        <f>IFERROR(INDEX(Modelos!$E$2:$E$301,MATCH($B367,Modelos!$C$2:$C$301,0))&amp;"","")</f>
        <v/>
      </c>
      <c r="J367" s="7" t="str">
        <f>IFERROR(INDEX(Modelos!$F$2:$F$301,MATCH($B367,Modelos!$C$2:$C$301,0))&amp;"","")</f>
        <v/>
      </c>
      <c r="K367" s="7" t="str">
        <f>IFERROR(INDEX(Modelos!$G$2:$G$301,MATCH($B367,Modelos!$C$2:$C$301,0))&amp;"","")</f>
        <v/>
      </c>
      <c r="L367" s="7" t="str">
        <f>IFERROR(INDEX(Diccionarios!$G$2:$G$201,MATCH($C367,Diccionarios!$H$2:$H$201,0))&amp;"","")</f>
        <v/>
      </c>
      <c r="M367" s="7" t="str">
        <f>IF(D367="","",D367&amp;"")</f>
        <v/>
      </c>
      <c r="N367" s="8" t="str">
        <f>IF($B367="","",IFERROR(INDEX(Modelos!$H$2:$H$301,MATCH($B367,Modelos!$C$2:$C$301,0)),""))</f>
        <v/>
      </c>
      <c r="O367" s="8" t="str">
        <f>IF($B367="","",IFERROR(INDEX(Modelos!$I$2:$I$301,MATCH($B367,Modelos!$C$2:$C$301,0)),""))</f>
        <v/>
      </c>
      <c r="P367" s="8" t="str">
        <f>IF($B367="","",IFERROR(INDEX(Modelos!$J$2:$J$301,MATCH($B367,Modelos!$C$2:$C$301,0)),""))</f>
        <v/>
      </c>
      <c r="Q367" s="7" t="str">
        <f>IFERROR(INDEX(Diccionarios!$B$2:$B$201,MATCH($A367,Diccionarios!$D$2:$D$201,0))&amp;"","")</f>
        <v/>
      </c>
      <c r="R367" s="7" t="str">
        <f>IFERROR(INDEX(Diccionarios!$C$2:$C$201,MATCH($A367,Diccionarios!$D$2:$D$201,0))&amp;"","")</f>
        <v/>
      </c>
      <c r="S367" s="7" t="str">
        <f>IFERROR(INDEX(Modelos!$K$2:$K$301,MATCH($B367,Modelos!$C$2:$C$301,0))&amp;"","")</f>
        <v/>
      </c>
      <c r="T367" s="7" t="str">
        <f>IFERROR(INDEX(Modelos!$L$2:$L$301,MATCH($B367,Modelos!$C$2:$C$301,0))&amp;"","")</f>
        <v/>
      </c>
    </row>
    <row r="368" spans="1:20" x14ac:dyDescent="0.25">
      <c r="A368" s="5"/>
      <c r="B368" s="5"/>
      <c r="C368" s="5"/>
      <c r="D368" s="6"/>
      <c r="E368" s="5"/>
      <c r="F368" s="7" t="str">
        <f>IF(AND(A368&lt;&gt;"",B368&lt;&gt;"",C368&lt;&gt;"",D368&lt;&gt;""),LEFT(A368,2)&amp;LEFT(B368,4)&amp;LEFT(C368,2)&amp;SUBSTITUTE(UPPER(D368),"Ú","U"),"")</f>
        <v/>
      </c>
      <c r="G368" s="7" t="str">
        <f>IFERROR(INDEX(Modelos!$B$2:$B$301,MATCH($B368,Modelos!$C$2:$C$301,0))&amp;"","")</f>
        <v/>
      </c>
      <c r="H368" s="7" t="str">
        <f>IFERROR(INDEX(Modelos!$D$2:$D$301,MATCH($B368,Modelos!$C$2:$C$301,0))&amp;"","")</f>
        <v/>
      </c>
      <c r="I368" s="7" t="str">
        <f>IFERROR(INDEX(Modelos!$E$2:$E$301,MATCH($B368,Modelos!$C$2:$C$301,0))&amp;"","")</f>
        <v/>
      </c>
      <c r="J368" s="7" t="str">
        <f>IFERROR(INDEX(Modelos!$F$2:$F$301,MATCH($B368,Modelos!$C$2:$C$301,0))&amp;"","")</f>
        <v/>
      </c>
      <c r="K368" s="7" t="str">
        <f>IFERROR(INDEX(Modelos!$G$2:$G$301,MATCH($B368,Modelos!$C$2:$C$301,0))&amp;"","")</f>
        <v/>
      </c>
      <c r="L368" s="7" t="str">
        <f>IFERROR(INDEX(Diccionarios!$G$2:$G$201,MATCH($C368,Diccionarios!$H$2:$H$201,0))&amp;"","")</f>
        <v/>
      </c>
      <c r="M368" s="7" t="str">
        <f>IF(D368="","",D368&amp;"")</f>
        <v/>
      </c>
      <c r="N368" s="8" t="str">
        <f>IF($B368="","",IFERROR(INDEX(Modelos!$H$2:$H$301,MATCH($B368,Modelos!$C$2:$C$301,0)),""))</f>
        <v/>
      </c>
      <c r="O368" s="8" t="str">
        <f>IF($B368="","",IFERROR(INDEX(Modelos!$I$2:$I$301,MATCH($B368,Modelos!$C$2:$C$301,0)),""))</f>
        <v/>
      </c>
      <c r="P368" s="8" t="str">
        <f>IF($B368="","",IFERROR(INDEX(Modelos!$J$2:$J$301,MATCH($B368,Modelos!$C$2:$C$301,0)),""))</f>
        <v/>
      </c>
      <c r="Q368" s="7" t="str">
        <f>IFERROR(INDEX(Diccionarios!$B$2:$B$201,MATCH($A368,Diccionarios!$D$2:$D$201,0))&amp;"","")</f>
        <v/>
      </c>
      <c r="R368" s="7" t="str">
        <f>IFERROR(INDEX(Diccionarios!$C$2:$C$201,MATCH($A368,Diccionarios!$D$2:$D$201,0))&amp;"","")</f>
        <v/>
      </c>
      <c r="S368" s="7" t="str">
        <f>IFERROR(INDEX(Modelos!$K$2:$K$301,MATCH($B368,Modelos!$C$2:$C$301,0))&amp;"","")</f>
        <v/>
      </c>
      <c r="T368" s="7" t="str">
        <f>IFERROR(INDEX(Modelos!$L$2:$L$301,MATCH($B368,Modelos!$C$2:$C$301,0))&amp;"","")</f>
        <v/>
      </c>
    </row>
    <row r="369" spans="1:20" x14ac:dyDescent="0.25">
      <c r="A369" s="5"/>
      <c r="B369" s="5"/>
      <c r="C369" s="5"/>
      <c r="D369" s="6"/>
      <c r="E369" s="5"/>
      <c r="F369" s="7" t="str">
        <f>IF(AND(A369&lt;&gt;"",B369&lt;&gt;"",C369&lt;&gt;"",D369&lt;&gt;""),LEFT(A369,2)&amp;LEFT(B369,4)&amp;LEFT(C369,2)&amp;SUBSTITUTE(UPPER(D369),"Ú","U"),"")</f>
        <v/>
      </c>
      <c r="G369" s="7" t="str">
        <f>IFERROR(INDEX(Modelos!$B$2:$B$301,MATCH($B369,Modelos!$C$2:$C$301,0))&amp;"","")</f>
        <v/>
      </c>
      <c r="H369" s="7" t="str">
        <f>IFERROR(INDEX(Modelos!$D$2:$D$301,MATCH($B369,Modelos!$C$2:$C$301,0))&amp;"","")</f>
        <v/>
      </c>
      <c r="I369" s="7" t="str">
        <f>IFERROR(INDEX(Modelos!$E$2:$E$301,MATCH($B369,Modelos!$C$2:$C$301,0))&amp;"","")</f>
        <v/>
      </c>
      <c r="J369" s="7" t="str">
        <f>IFERROR(INDEX(Modelos!$F$2:$F$301,MATCH($B369,Modelos!$C$2:$C$301,0))&amp;"","")</f>
        <v/>
      </c>
      <c r="K369" s="7" t="str">
        <f>IFERROR(INDEX(Modelos!$G$2:$G$301,MATCH($B369,Modelos!$C$2:$C$301,0))&amp;"","")</f>
        <v/>
      </c>
      <c r="L369" s="7" t="str">
        <f>IFERROR(INDEX(Diccionarios!$G$2:$G$201,MATCH($C369,Diccionarios!$H$2:$H$201,0))&amp;"","")</f>
        <v/>
      </c>
      <c r="M369" s="7" t="str">
        <f>IF(D369="","",D369&amp;"")</f>
        <v/>
      </c>
      <c r="N369" s="8" t="str">
        <f>IF($B369="","",IFERROR(INDEX(Modelos!$H$2:$H$301,MATCH($B369,Modelos!$C$2:$C$301,0)),""))</f>
        <v/>
      </c>
      <c r="O369" s="8" t="str">
        <f>IF($B369="","",IFERROR(INDEX(Modelos!$I$2:$I$301,MATCH($B369,Modelos!$C$2:$C$301,0)),""))</f>
        <v/>
      </c>
      <c r="P369" s="8" t="str">
        <f>IF($B369="","",IFERROR(INDEX(Modelos!$J$2:$J$301,MATCH($B369,Modelos!$C$2:$C$301,0)),""))</f>
        <v/>
      </c>
      <c r="Q369" s="7" t="str">
        <f>IFERROR(INDEX(Diccionarios!$B$2:$B$201,MATCH($A369,Diccionarios!$D$2:$D$201,0))&amp;"","")</f>
        <v/>
      </c>
      <c r="R369" s="7" t="str">
        <f>IFERROR(INDEX(Diccionarios!$C$2:$C$201,MATCH($A369,Diccionarios!$D$2:$D$201,0))&amp;"","")</f>
        <v/>
      </c>
      <c r="S369" s="7" t="str">
        <f>IFERROR(INDEX(Modelos!$K$2:$K$301,MATCH($B369,Modelos!$C$2:$C$301,0))&amp;"","")</f>
        <v/>
      </c>
      <c r="T369" s="7" t="str">
        <f>IFERROR(INDEX(Modelos!$L$2:$L$301,MATCH($B369,Modelos!$C$2:$C$301,0))&amp;"","")</f>
        <v/>
      </c>
    </row>
    <row r="370" spans="1:20" x14ac:dyDescent="0.25">
      <c r="A370" s="5"/>
      <c r="B370" s="5"/>
      <c r="C370" s="5"/>
      <c r="D370" s="6"/>
      <c r="E370" s="5"/>
      <c r="F370" s="7" t="str">
        <f>IF(AND(A370&lt;&gt;"",B370&lt;&gt;"",C370&lt;&gt;"",D370&lt;&gt;""),LEFT(A370,2)&amp;LEFT(B370,4)&amp;LEFT(C370,2)&amp;SUBSTITUTE(UPPER(D370),"Ú","U"),"")</f>
        <v/>
      </c>
      <c r="G370" s="7" t="str">
        <f>IFERROR(INDEX(Modelos!$B$2:$B$301,MATCH($B370,Modelos!$C$2:$C$301,0))&amp;"","")</f>
        <v/>
      </c>
      <c r="H370" s="7" t="str">
        <f>IFERROR(INDEX(Modelos!$D$2:$D$301,MATCH($B370,Modelos!$C$2:$C$301,0))&amp;"","")</f>
        <v/>
      </c>
      <c r="I370" s="7" t="str">
        <f>IFERROR(INDEX(Modelos!$E$2:$E$301,MATCH($B370,Modelos!$C$2:$C$301,0))&amp;"","")</f>
        <v/>
      </c>
      <c r="J370" s="7" t="str">
        <f>IFERROR(INDEX(Modelos!$F$2:$F$301,MATCH($B370,Modelos!$C$2:$C$301,0))&amp;"","")</f>
        <v/>
      </c>
      <c r="K370" s="7" t="str">
        <f>IFERROR(INDEX(Modelos!$G$2:$G$301,MATCH($B370,Modelos!$C$2:$C$301,0))&amp;"","")</f>
        <v/>
      </c>
      <c r="L370" s="7" t="str">
        <f>IFERROR(INDEX(Diccionarios!$G$2:$G$201,MATCH($C370,Diccionarios!$H$2:$H$201,0))&amp;"","")</f>
        <v/>
      </c>
      <c r="M370" s="7" t="str">
        <f>IF(D370="","",D370&amp;"")</f>
        <v/>
      </c>
      <c r="N370" s="8" t="str">
        <f>IF($B370="","",IFERROR(INDEX(Modelos!$H$2:$H$301,MATCH($B370,Modelos!$C$2:$C$301,0)),""))</f>
        <v/>
      </c>
      <c r="O370" s="8" t="str">
        <f>IF($B370="","",IFERROR(INDEX(Modelos!$I$2:$I$301,MATCH($B370,Modelos!$C$2:$C$301,0)),""))</f>
        <v/>
      </c>
      <c r="P370" s="8" t="str">
        <f>IF($B370="","",IFERROR(INDEX(Modelos!$J$2:$J$301,MATCH($B370,Modelos!$C$2:$C$301,0)),""))</f>
        <v/>
      </c>
      <c r="Q370" s="7" t="str">
        <f>IFERROR(INDEX(Diccionarios!$B$2:$B$201,MATCH($A370,Diccionarios!$D$2:$D$201,0))&amp;"","")</f>
        <v/>
      </c>
      <c r="R370" s="7" t="str">
        <f>IFERROR(INDEX(Diccionarios!$C$2:$C$201,MATCH($A370,Diccionarios!$D$2:$D$201,0))&amp;"","")</f>
        <v/>
      </c>
      <c r="S370" s="7" t="str">
        <f>IFERROR(INDEX(Modelos!$K$2:$K$301,MATCH($B370,Modelos!$C$2:$C$301,0))&amp;"","")</f>
        <v/>
      </c>
      <c r="T370" s="7" t="str">
        <f>IFERROR(INDEX(Modelos!$L$2:$L$301,MATCH($B370,Modelos!$C$2:$C$301,0))&amp;"","")</f>
        <v/>
      </c>
    </row>
    <row r="371" spans="1:20" x14ac:dyDescent="0.25">
      <c r="A371" s="5"/>
      <c r="B371" s="5"/>
      <c r="C371" s="5"/>
      <c r="D371" s="6"/>
      <c r="E371" s="5"/>
      <c r="F371" s="7" t="str">
        <f>IF(AND(A371&lt;&gt;"",B371&lt;&gt;"",C371&lt;&gt;"",D371&lt;&gt;""),LEFT(A371,2)&amp;LEFT(B371,4)&amp;LEFT(C371,2)&amp;SUBSTITUTE(UPPER(D371),"Ú","U"),"")</f>
        <v/>
      </c>
      <c r="G371" s="7" t="str">
        <f>IFERROR(INDEX(Modelos!$B$2:$B$301,MATCH($B371,Modelos!$C$2:$C$301,0))&amp;"","")</f>
        <v/>
      </c>
      <c r="H371" s="7" t="str">
        <f>IFERROR(INDEX(Modelos!$D$2:$D$301,MATCH($B371,Modelos!$C$2:$C$301,0))&amp;"","")</f>
        <v/>
      </c>
      <c r="I371" s="7" t="str">
        <f>IFERROR(INDEX(Modelos!$E$2:$E$301,MATCH($B371,Modelos!$C$2:$C$301,0))&amp;"","")</f>
        <v/>
      </c>
      <c r="J371" s="7" t="str">
        <f>IFERROR(INDEX(Modelos!$F$2:$F$301,MATCH($B371,Modelos!$C$2:$C$301,0))&amp;"","")</f>
        <v/>
      </c>
      <c r="K371" s="7" t="str">
        <f>IFERROR(INDEX(Modelos!$G$2:$G$301,MATCH($B371,Modelos!$C$2:$C$301,0))&amp;"","")</f>
        <v/>
      </c>
      <c r="L371" s="7" t="str">
        <f>IFERROR(INDEX(Diccionarios!$G$2:$G$201,MATCH($C371,Diccionarios!$H$2:$H$201,0))&amp;"","")</f>
        <v/>
      </c>
      <c r="M371" s="7" t="str">
        <f>IF(D371="","",D371&amp;"")</f>
        <v/>
      </c>
      <c r="N371" s="8" t="str">
        <f>IF($B371="","",IFERROR(INDEX(Modelos!$H$2:$H$301,MATCH($B371,Modelos!$C$2:$C$301,0)),""))</f>
        <v/>
      </c>
      <c r="O371" s="8" t="str">
        <f>IF($B371="","",IFERROR(INDEX(Modelos!$I$2:$I$301,MATCH($B371,Modelos!$C$2:$C$301,0)),""))</f>
        <v/>
      </c>
      <c r="P371" s="8" t="str">
        <f>IF($B371="","",IFERROR(INDEX(Modelos!$J$2:$J$301,MATCH($B371,Modelos!$C$2:$C$301,0)),""))</f>
        <v/>
      </c>
      <c r="Q371" s="7" t="str">
        <f>IFERROR(INDEX(Diccionarios!$B$2:$B$201,MATCH($A371,Diccionarios!$D$2:$D$201,0))&amp;"","")</f>
        <v/>
      </c>
      <c r="R371" s="7" t="str">
        <f>IFERROR(INDEX(Diccionarios!$C$2:$C$201,MATCH($A371,Diccionarios!$D$2:$D$201,0))&amp;"","")</f>
        <v/>
      </c>
      <c r="S371" s="7" t="str">
        <f>IFERROR(INDEX(Modelos!$K$2:$K$301,MATCH($B371,Modelos!$C$2:$C$301,0))&amp;"","")</f>
        <v/>
      </c>
      <c r="T371" s="7" t="str">
        <f>IFERROR(INDEX(Modelos!$L$2:$L$301,MATCH($B371,Modelos!$C$2:$C$301,0))&amp;"","")</f>
        <v/>
      </c>
    </row>
    <row r="372" spans="1:20" x14ac:dyDescent="0.25">
      <c r="A372" s="5"/>
      <c r="B372" s="5"/>
      <c r="C372" s="5"/>
      <c r="D372" s="6"/>
      <c r="E372" s="5"/>
      <c r="F372" s="7" t="str">
        <f>IF(AND(A372&lt;&gt;"",B372&lt;&gt;"",C372&lt;&gt;"",D372&lt;&gt;""),LEFT(A372,2)&amp;LEFT(B372,4)&amp;LEFT(C372,2)&amp;SUBSTITUTE(UPPER(D372),"Ú","U"),"")</f>
        <v/>
      </c>
      <c r="G372" s="7" t="str">
        <f>IFERROR(INDEX(Modelos!$B$2:$B$301,MATCH($B372,Modelos!$C$2:$C$301,0))&amp;"","")</f>
        <v/>
      </c>
      <c r="H372" s="7" t="str">
        <f>IFERROR(INDEX(Modelos!$D$2:$D$301,MATCH($B372,Modelos!$C$2:$C$301,0))&amp;"","")</f>
        <v/>
      </c>
      <c r="I372" s="7" t="str">
        <f>IFERROR(INDEX(Modelos!$E$2:$E$301,MATCH($B372,Modelos!$C$2:$C$301,0))&amp;"","")</f>
        <v/>
      </c>
      <c r="J372" s="7" t="str">
        <f>IFERROR(INDEX(Modelos!$F$2:$F$301,MATCH($B372,Modelos!$C$2:$C$301,0))&amp;"","")</f>
        <v/>
      </c>
      <c r="K372" s="7" t="str">
        <f>IFERROR(INDEX(Modelos!$G$2:$G$301,MATCH($B372,Modelos!$C$2:$C$301,0))&amp;"","")</f>
        <v/>
      </c>
      <c r="L372" s="7" t="str">
        <f>IFERROR(INDEX(Diccionarios!$G$2:$G$201,MATCH($C372,Diccionarios!$H$2:$H$201,0))&amp;"","")</f>
        <v/>
      </c>
      <c r="M372" s="7" t="str">
        <f>IF(D372="","",D372&amp;"")</f>
        <v/>
      </c>
      <c r="N372" s="8" t="str">
        <f>IF($B372="","",IFERROR(INDEX(Modelos!$H$2:$H$301,MATCH($B372,Modelos!$C$2:$C$301,0)),""))</f>
        <v/>
      </c>
      <c r="O372" s="8" t="str">
        <f>IF($B372="","",IFERROR(INDEX(Modelos!$I$2:$I$301,MATCH($B372,Modelos!$C$2:$C$301,0)),""))</f>
        <v/>
      </c>
      <c r="P372" s="8" t="str">
        <f>IF($B372="","",IFERROR(INDEX(Modelos!$J$2:$J$301,MATCH($B372,Modelos!$C$2:$C$301,0)),""))</f>
        <v/>
      </c>
      <c r="Q372" s="7" t="str">
        <f>IFERROR(INDEX(Diccionarios!$B$2:$B$201,MATCH($A372,Diccionarios!$D$2:$D$201,0))&amp;"","")</f>
        <v/>
      </c>
      <c r="R372" s="7" t="str">
        <f>IFERROR(INDEX(Diccionarios!$C$2:$C$201,MATCH($A372,Diccionarios!$D$2:$D$201,0))&amp;"","")</f>
        <v/>
      </c>
      <c r="S372" s="7" t="str">
        <f>IFERROR(INDEX(Modelos!$K$2:$K$301,MATCH($B372,Modelos!$C$2:$C$301,0))&amp;"","")</f>
        <v/>
      </c>
      <c r="T372" s="7" t="str">
        <f>IFERROR(INDEX(Modelos!$L$2:$L$301,MATCH($B372,Modelos!$C$2:$C$301,0))&amp;"","")</f>
        <v/>
      </c>
    </row>
    <row r="373" spans="1:20" x14ac:dyDescent="0.25">
      <c r="A373" s="5"/>
      <c r="B373" s="5"/>
      <c r="C373" s="5"/>
      <c r="D373" s="6"/>
      <c r="E373" s="5"/>
      <c r="F373" s="7" t="str">
        <f>IF(AND(A373&lt;&gt;"",B373&lt;&gt;"",C373&lt;&gt;"",D373&lt;&gt;""),LEFT(A373,2)&amp;LEFT(B373,4)&amp;LEFT(C373,2)&amp;SUBSTITUTE(UPPER(D373),"Ú","U"),"")</f>
        <v/>
      </c>
      <c r="G373" s="7" t="str">
        <f>IFERROR(INDEX(Modelos!$B$2:$B$301,MATCH($B373,Modelos!$C$2:$C$301,0))&amp;"","")</f>
        <v/>
      </c>
      <c r="H373" s="7" t="str">
        <f>IFERROR(INDEX(Modelos!$D$2:$D$301,MATCH($B373,Modelos!$C$2:$C$301,0))&amp;"","")</f>
        <v/>
      </c>
      <c r="I373" s="7" t="str">
        <f>IFERROR(INDEX(Modelos!$E$2:$E$301,MATCH($B373,Modelos!$C$2:$C$301,0))&amp;"","")</f>
        <v/>
      </c>
      <c r="J373" s="7" t="str">
        <f>IFERROR(INDEX(Modelos!$F$2:$F$301,MATCH($B373,Modelos!$C$2:$C$301,0))&amp;"","")</f>
        <v/>
      </c>
      <c r="K373" s="7" t="str">
        <f>IFERROR(INDEX(Modelos!$G$2:$G$301,MATCH($B373,Modelos!$C$2:$C$301,0))&amp;"","")</f>
        <v/>
      </c>
      <c r="L373" s="7" t="str">
        <f>IFERROR(INDEX(Diccionarios!$G$2:$G$201,MATCH($C373,Diccionarios!$H$2:$H$201,0))&amp;"","")</f>
        <v/>
      </c>
      <c r="M373" s="7" t="str">
        <f>IF(D373="","",D373&amp;"")</f>
        <v/>
      </c>
      <c r="N373" s="8" t="str">
        <f>IF($B373="","",IFERROR(INDEX(Modelos!$H$2:$H$301,MATCH($B373,Modelos!$C$2:$C$301,0)),""))</f>
        <v/>
      </c>
      <c r="O373" s="8" t="str">
        <f>IF($B373="","",IFERROR(INDEX(Modelos!$I$2:$I$301,MATCH($B373,Modelos!$C$2:$C$301,0)),""))</f>
        <v/>
      </c>
      <c r="P373" s="8" t="str">
        <f>IF($B373="","",IFERROR(INDEX(Modelos!$J$2:$J$301,MATCH($B373,Modelos!$C$2:$C$301,0)),""))</f>
        <v/>
      </c>
      <c r="Q373" s="7" t="str">
        <f>IFERROR(INDEX(Diccionarios!$B$2:$B$201,MATCH($A373,Diccionarios!$D$2:$D$201,0))&amp;"","")</f>
        <v/>
      </c>
      <c r="R373" s="7" t="str">
        <f>IFERROR(INDEX(Diccionarios!$C$2:$C$201,MATCH($A373,Diccionarios!$D$2:$D$201,0))&amp;"","")</f>
        <v/>
      </c>
      <c r="S373" s="7" t="str">
        <f>IFERROR(INDEX(Modelos!$K$2:$K$301,MATCH($B373,Modelos!$C$2:$C$301,0))&amp;"","")</f>
        <v/>
      </c>
      <c r="T373" s="7" t="str">
        <f>IFERROR(INDEX(Modelos!$L$2:$L$301,MATCH($B373,Modelos!$C$2:$C$301,0))&amp;"","")</f>
        <v/>
      </c>
    </row>
    <row r="374" spans="1:20" x14ac:dyDescent="0.25">
      <c r="A374" s="5"/>
      <c r="B374" s="5"/>
      <c r="C374" s="5"/>
      <c r="D374" s="6"/>
      <c r="E374" s="5"/>
      <c r="F374" s="7" t="str">
        <f>IF(AND(A374&lt;&gt;"",B374&lt;&gt;"",C374&lt;&gt;"",D374&lt;&gt;""),LEFT(A374,2)&amp;LEFT(B374,4)&amp;LEFT(C374,2)&amp;SUBSTITUTE(UPPER(D374),"Ú","U"),"")</f>
        <v/>
      </c>
      <c r="G374" s="7" t="str">
        <f>IFERROR(INDEX(Modelos!$B$2:$B$301,MATCH($B374,Modelos!$C$2:$C$301,0))&amp;"","")</f>
        <v/>
      </c>
      <c r="H374" s="7" t="str">
        <f>IFERROR(INDEX(Modelos!$D$2:$D$301,MATCH($B374,Modelos!$C$2:$C$301,0))&amp;"","")</f>
        <v/>
      </c>
      <c r="I374" s="7" t="str">
        <f>IFERROR(INDEX(Modelos!$E$2:$E$301,MATCH($B374,Modelos!$C$2:$C$301,0))&amp;"","")</f>
        <v/>
      </c>
      <c r="J374" s="7" t="str">
        <f>IFERROR(INDEX(Modelos!$F$2:$F$301,MATCH($B374,Modelos!$C$2:$C$301,0))&amp;"","")</f>
        <v/>
      </c>
      <c r="K374" s="7" t="str">
        <f>IFERROR(INDEX(Modelos!$G$2:$G$301,MATCH($B374,Modelos!$C$2:$C$301,0))&amp;"","")</f>
        <v/>
      </c>
      <c r="L374" s="7" t="str">
        <f>IFERROR(INDEX(Diccionarios!$G$2:$G$201,MATCH($C374,Diccionarios!$H$2:$H$201,0))&amp;"","")</f>
        <v/>
      </c>
      <c r="M374" s="7" t="str">
        <f>IF(D374="","",D374&amp;"")</f>
        <v/>
      </c>
      <c r="N374" s="8" t="str">
        <f>IF($B374="","",IFERROR(INDEX(Modelos!$H$2:$H$301,MATCH($B374,Modelos!$C$2:$C$301,0)),""))</f>
        <v/>
      </c>
      <c r="O374" s="8" t="str">
        <f>IF($B374="","",IFERROR(INDEX(Modelos!$I$2:$I$301,MATCH($B374,Modelos!$C$2:$C$301,0)),""))</f>
        <v/>
      </c>
      <c r="P374" s="8" t="str">
        <f>IF($B374="","",IFERROR(INDEX(Modelos!$J$2:$J$301,MATCH($B374,Modelos!$C$2:$C$301,0)),""))</f>
        <v/>
      </c>
      <c r="Q374" s="7" t="str">
        <f>IFERROR(INDEX(Diccionarios!$B$2:$B$201,MATCH($A374,Diccionarios!$D$2:$D$201,0))&amp;"","")</f>
        <v/>
      </c>
      <c r="R374" s="7" t="str">
        <f>IFERROR(INDEX(Diccionarios!$C$2:$C$201,MATCH($A374,Diccionarios!$D$2:$D$201,0))&amp;"","")</f>
        <v/>
      </c>
      <c r="S374" s="7" t="str">
        <f>IFERROR(INDEX(Modelos!$K$2:$K$301,MATCH($B374,Modelos!$C$2:$C$301,0))&amp;"","")</f>
        <v/>
      </c>
      <c r="T374" s="7" t="str">
        <f>IFERROR(INDEX(Modelos!$L$2:$L$301,MATCH($B374,Modelos!$C$2:$C$301,0))&amp;"","")</f>
        <v/>
      </c>
    </row>
    <row r="375" spans="1:20" x14ac:dyDescent="0.25">
      <c r="A375" s="5"/>
      <c r="B375" s="5"/>
      <c r="C375" s="5"/>
      <c r="D375" s="6"/>
      <c r="E375" s="5"/>
      <c r="F375" s="7" t="str">
        <f>IF(AND(A375&lt;&gt;"",B375&lt;&gt;"",C375&lt;&gt;"",D375&lt;&gt;""),LEFT(A375,2)&amp;LEFT(B375,4)&amp;LEFT(C375,2)&amp;SUBSTITUTE(UPPER(D375),"Ú","U"),"")</f>
        <v/>
      </c>
      <c r="G375" s="7" t="str">
        <f>IFERROR(INDEX(Modelos!$B$2:$B$301,MATCH($B375,Modelos!$C$2:$C$301,0))&amp;"","")</f>
        <v/>
      </c>
      <c r="H375" s="7" t="str">
        <f>IFERROR(INDEX(Modelos!$D$2:$D$301,MATCH($B375,Modelos!$C$2:$C$301,0))&amp;"","")</f>
        <v/>
      </c>
      <c r="I375" s="7" t="str">
        <f>IFERROR(INDEX(Modelos!$E$2:$E$301,MATCH($B375,Modelos!$C$2:$C$301,0))&amp;"","")</f>
        <v/>
      </c>
      <c r="J375" s="7" t="str">
        <f>IFERROR(INDEX(Modelos!$F$2:$F$301,MATCH($B375,Modelos!$C$2:$C$301,0))&amp;"","")</f>
        <v/>
      </c>
      <c r="K375" s="7" t="str">
        <f>IFERROR(INDEX(Modelos!$G$2:$G$301,MATCH($B375,Modelos!$C$2:$C$301,0))&amp;"","")</f>
        <v/>
      </c>
      <c r="L375" s="7" t="str">
        <f>IFERROR(INDEX(Diccionarios!$G$2:$G$201,MATCH($C375,Diccionarios!$H$2:$H$201,0))&amp;"","")</f>
        <v/>
      </c>
      <c r="M375" s="7" t="str">
        <f>IF(D375="","",D375&amp;"")</f>
        <v/>
      </c>
      <c r="N375" s="8" t="str">
        <f>IF($B375="","",IFERROR(INDEX(Modelos!$H$2:$H$301,MATCH($B375,Modelos!$C$2:$C$301,0)),""))</f>
        <v/>
      </c>
      <c r="O375" s="8" t="str">
        <f>IF($B375="","",IFERROR(INDEX(Modelos!$I$2:$I$301,MATCH($B375,Modelos!$C$2:$C$301,0)),""))</f>
        <v/>
      </c>
      <c r="P375" s="8" t="str">
        <f>IF($B375="","",IFERROR(INDEX(Modelos!$J$2:$J$301,MATCH($B375,Modelos!$C$2:$C$301,0)),""))</f>
        <v/>
      </c>
      <c r="Q375" s="7" t="str">
        <f>IFERROR(INDEX(Diccionarios!$B$2:$B$201,MATCH($A375,Diccionarios!$D$2:$D$201,0))&amp;"","")</f>
        <v/>
      </c>
      <c r="R375" s="7" t="str">
        <f>IFERROR(INDEX(Diccionarios!$C$2:$C$201,MATCH($A375,Diccionarios!$D$2:$D$201,0))&amp;"","")</f>
        <v/>
      </c>
      <c r="S375" s="7" t="str">
        <f>IFERROR(INDEX(Modelos!$K$2:$K$301,MATCH($B375,Modelos!$C$2:$C$301,0))&amp;"","")</f>
        <v/>
      </c>
      <c r="T375" s="7" t="str">
        <f>IFERROR(INDEX(Modelos!$L$2:$L$301,MATCH($B375,Modelos!$C$2:$C$301,0))&amp;"","")</f>
        <v/>
      </c>
    </row>
    <row r="376" spans="1:20" x14ac:dyDescent="0.25">
      <c r="A376" s="5"/>
      <c r="B376" s="5"/>
      <c r="C376" s="5"/>
      <c r="D376" s="6"/>
      <c r="E376" s="5"/>
      <c r="F376" s="7" t="str">
        <f>IF(AND(A376&lt;&gt;"",B376&lt;&gt;"",C376&lt;&gt;"",D376&lt;&gt;""),LEFT(A376,2)&amp;LEFT(B376,4)&amp;LEFT(C376,2)&amp;SUBSTITUTE(UPPER(D376),"Ú","U"),"")</f>
        <v/>
      </c>
      <c r="G376" s="7" t="str">
        <f>IFERROR(INDEX(Modelos!$B$2:$B$301,MATCH($B376,Modelos!$C$2:$C$301,0))&amp;"","")</f>
        <v/>
      </c>
      <c r="H376" s="7" t="str">
        <f>IFERROR(INDEX(Modelos!$D$2:$D$301,MATCH($B376,Modelos!$C$2:$C$301,0))&amp;"","")</f>
        <v/>
      </c>
      <c r="I376" s="7" t="str">
        <f>IFERROR(INDEX(Modelos!$E$2:$E$301,MATCH($B376,Modelos!$C$2:$C$301,0))&amp;"","")</f>
        <v/>
      </c>
      <c r="J376" s="7" t="str">
        <f>IFERROR(INDEX(Modelos!$F$2:$F$301,MATCH($B376,Modelos!$C$2:$C$301,0))&amp;"","")</f>
        <v/>
      </c>
      <c r="K376" s="7" t="str">
        <f>IFERROR(INDEX(Modelos!$G$2:$G$301,MATCH($B376,Modelos!$C$2:$C$301,0))&amp;"","")</f>
        <v/>
      </c>
      <c r="L376" s="7" t="str">
        <f>IFERROR(INDEX(Diccionarios!$G$2:$G$201,MATCH($C376,Diccionarios!$H$2:$H$201,0))&amp;"","")</f>
        <v/>
      </c>
      <c r="M376" s="7" t="str">
        <f>IF(D376="","",D376&amp;"")</f>
        <v/>
      </c>
      <c r="N376" s="8" t="str">
        <f>IF($B376="","",IFERROR(INDEX(Modelos!$H$2:$H$301,MATCH($B376,Modelos!$C$2:$C$301,0)),""))</f>
        <v/>
      </c>
      <c r="O376" s="8" t="str">
        <f>IF($B376="","",IFERROR(INDEX(Modelos!$I$2:$I$301,MATCH($B376,Modelos!$C$2:$C$301,0)),""))</f>
        <v/>
      </c>
      <c r="P376" s="8" t="str">
        <f>IF($B376="","",IFERROR(INDEX(Modelos!$J$2:$J$301,MATCH($B376,Modelos!$C$2:$C$301,0)),""))</f>
        <v/>
      </c>
      <c r="Q376" s="7" t="str">
        <f>IFERROR(INDEX(Diccionarios!$B$2:$B$201,MATCH($A376,Diccionarios!$D$2:$D$201,0))&amp;"","")</f>
        <v/>
      </c>
      <c r="R376" s="7" t="str">
        <f>IFERROR(INDEX(Diccionarios!$C$2:$C$201,MATCH($A376,Diccionarios!$D$2:$D$201,0))&amp;"","")</f>
        <v/>
      </c>
      <c r="S376" s="7" t="str">
        <f>IFERROR(INDEX(Modelos!$K$2:$K$301,MATCH($B376,Modelos!$C$2:$C$301,0))&amp;"","")</f>
        <v/>
      </c>
      <c r="T376" s="7" t="str">
        <f>IFERROR(INDEX(Modelos!$L$2:$L$301,MATCH($B376,Modelos!$C$2:$C$301,0))&amp;"","")</f>
        <v/>
      </c>
    </row>
    <row r="377" spans="1:20" x14ac:dyDescent="0.25">
      <c r="A377" s="5"/>
      <c r="B377" s="5"/>
      <c r="C377" s="5"/>
      <c r="D377" s="6"/>
      <c r="E377" s="5"/>
      <c r="F377" s="7" t="str">
        <f>IF(AND(A377&lt;&gt;"",B377&lt;&gt;"",C377&lt;&gt;"",D377&lt;&gt;""),LEFT(A377,2)&amp;LEFT(B377,4)&amp;LEFT(C377,2)&amp;SUBSTITUTE(UPPER(D377),"Ú","U"),"")</f>
        <v/>
      </c>
      <c r="G377" s="7" t="str">
        <f>IFERROR(INDEX(Modelos!$B$2:$B$301,MATCH($B377,Modelos!$C$2:$C$301,0))&amp;"","")</f>
        <v/>
      </c>
      <c r="H377" s="7" t="str">
        <f>IFERROR(INDEX(Modelos!$D$2:$D$301,MATCH($B377,Modelos!$C$2:$C$301,0))&amp;"","")</f>
        <v/>
      </c>
      <c r="I377" s="7" t="str">
        <f>IFERROR(INDEX(Modelos!$E$2:$E$301,MATCH($B377,Modelos!$C$2:$C$301,0))&amp;"","")</f>
        <v/>
      </c>
      <c r="J377" s="7" t="str">
        <f>IFERROR(INDEX(Modelos!$F$2:$F$301,MATCH($B377,Modelos!$C$2:$C$301,0))&amp;"","")</f>
        <v/>
      </c>
      <c r="K377" s="7" t="str">
        <f>IFERROR(INDEX(Modelos!$G$2:$G$301,MATCH($B377,Modelos!$C$2:$C$301,0))&amp;"","")</f>
        <v/>
      </c>
      <c r="L377" s="7" t="str">
        <f>IFERROR(INDEX(Diccionarios!$G$2:$G$201,MATCH($C377,Diccionarios!$H$2:$H$201,0))&amp;"","")</f>
        <v/>
      </c>
      <c r="M377" s="7" t="str">
        <f>IF(D377="","",D377&amp;"")</f>
        <v/>
      </c>
      <c r="N377" s="8" t="str">
        <f>IF($B377="","",IFERROR(INDEX(Modelos!$H$2:$H$301,MATCH($B377,Modelos!$C$2:$C$301,0)),""))</f>
        <v/>
      </c>
      <c r="O377" s="8" t="str">
        <f>IF($B377="","",IFERROR(INDEX(Modelos!$I$2:$I$301,MATCH($B377,Modelos!$C$2:$C$301,0)),""))</f>
        <v/>
      </c>
      <c r="P377" s="8" t="str">
        <f>IF($B377="","",IFERROR(INDEX(Modelos!$J$2:$J$301,MATCH($B377,Modelos!$C$2:$C$301,0)),""))</f>
        <v/>
      </c>
      <c r="Q377" s="7" t="str">
        <f>IFERROR(INDEX(Diccionarios!$B$2:$B$201,MATCH($A377,Diccionarios!$D$2:$D$201,0))&amp;"","")</f>
        <v/>
      </c>
      <c r="R377" s="7" t="str">
        <f>IFERROR(INDEX(Diccionarios!$C$2:$C$201,MATCH($A377,Diccionarios!$D$2:$D$201,0))&amp;"","")</f>
        <v/>
      </c>
      <c r="S377" s="7" t="str">
        <f>IFERROR(INDEX(Modelos!$K$2:$K$301,MATCH($B377,Modelos!$C$2:$C$301,0))&amp;"","")</f>
        <v/>
      </c>
      <c r="T377" s="7" t="str">
        <f>IFERROR(INDEX(Modelos!$L$2:$L$301,MATCH($B377,Modelos!$C$2:$C$301,0))&amp;"","")</f>
        <v/>
      </c>
    </row>
    <row r="378" spans="1:20" x14ac:dyDescent="0.25">
      <c r="A378" s="5"/>
      <c r="B378" s="5"/>
      <c r="C378" s="5"/>
      <c r="D378" s="6"/>
      <c r="E378" s="5"/>
      <c r="F378" s="7" t="str">
        <f>IF(AND(A378&lt;&gt;"",B378&lt;&gt;"",C378&lt;&gt;"",D378&lt;&gt;""),LEFT(A378,2)&amp;LEFT(B378,4)&amp;LEFT(C378,2)&amp;SUBSTITUTE(UPPER(D378),"Ú","U"),"")</f>
        <v/>
      </c>
      <c r="G378" s="7" t="str">
        <f>IFERROR(INDEX(Modelos!$B$2:$B$301,MATCH($B378,Modelos!$C$2:$C$301,0))&amp;"","")</f>
        <v/>
      </c>
      <c r="H378" s="7" t="str">
        <f>IFERROR(INDEX(Modelos!$D$2:$D$301,MATCH($B378,Modelos!$C$2:$C$301,0))&amp;"","")</f>
        <v/>
      </c>
      <c r="I378" s="7" t="str">
        <f>IFERROR(INDEX(Modelos!$E$2:$E$301,MATCH($B378,Modelos!$C$2:$C$301,0))&amp;"","")</f>
        <v/>
      </c>
      <c r="J378" s="7" t="str">
        <f>IFERROR(INDEX(Modelos!$F$2:$F$301,MATCH($B378,Modelos!$C$2:$C$301,0))&amp;"","")</f>
        <v/>
      </c>
      <c r="K378" s="7" t="str">
        <f>IFERROR(INDEX(Modelos!$G$2:$G$301,MATCH($B378,Modelos!$C$2:$C$301,0))&amp;"","")</f>
        <v/>
      </c>
      <c r="L378" s="7" t="str">
        <f>IFERROR(INDEX(Diccionarios!$G$2:$G$201,MATCH($C378,Diccionarios!$H$2:$H$201,0))&amp;"","")</f>
        <v/>
      </c>
      <c r="M378" s="7" t="str">
        <f>IF(D378="","",D378&amp;"")</f>
        <v/>
      </c>
      <c r="N378" s="8" t="str">
        <f>IF($B378="","",IFERROR(INDEX(Modelos!$H$2:$H$301,MATCH($B378,Modelos!$C$2:$C$301,0)),""))</f>
        <v/>
      </c>
      <c r="O378" s="8" t="str">
        <f>IF($B378="","",IFERROR(INDEX(Modelos!$I$2:$I$301,MATCH($B378,Modelos!$C$2:$C$301,0)),""))</f>
        <v/>
      </c>
      <c r="P378" s="8" t="str">
        <f>IF($B378="","",IFERROR(INDEX(Modelos!$J$2:$J$301,MATCH($B378,Modelos!$C$2:$C$301,0)),""))</f>
        <v/>
      </c>
      <c r="Q378" s="7" t="str">
        <f>IFERROR(INDEX(Diccionarios!$B$2:$B$201,MATCH($A378,Diccionarios!$D$2:$D$201,0))&amp;"","")</f>
        <v/>
      </c>
      <c r="R378" s="7" t="str">
        <f>IFERROR(INDEX(Diccionarios!$C$2:$C$201,MATCH($A378,Diccionarios!$D$2:$D$201,0))&amp;"","")</f>
        <v/>
      </c>
      <c r="S378" s="7" t="str">
        <f>IFERROR(INDEX(Modelos!$K$2:$K$301,MATCH($B378,Modelos!$C$2:$C$301,0))&amp;"","")</f>
        <v/>
      </c>
      <c r="T378" s="7" t="str">
        <f>IFERROR(INDEX(Modelos!$L$2:$L$301,MATCH($B378,Modelos!$C$2:$C$301,0))&amp;"","")</f>
        <v/>
      </c>
    </row>
    <row r="379" spans="1:20" x14ac:dyDescent="0.25">
      <c r="A379" s="5"/>
      <c r="B379" s="5"/>
      <c r="C379" s="5"/>
      <c r="D379" s="6"/>
      <c r="E379" s="5"/>
      <c r="F379" s="7" t="str">
        <f>IF(AND(A379&lt;&gt;"",B379&lt;&gt;"",C379&lt;&gt;"",D379&lt;&gt;""),LEFT(A379,2)&amp;LEFT(B379,4)&amp;LEFT(C379,2)&amp;SUBSTITUTE(UPPER(D379),"Ú","U"),"")</f>
        <v/>
      </c>
      <c r="G379" s="7" t="str">
        <f>IFERROR(INDEX(Modelos!$B$2:$B$301,MATCH($B379,Modelos!$C$2:$C$301,0))&amp;"","")</f>
        <v/>
      </c>
      <c r="H379" s="7" t="str">
        <f>IFERROR(INDEX(Modelos!$D$2:$D$301,MATCH($B379,Modelos!$C$2:$C$301,0))&amp;"","")</f>
        <v/>
      </c>
      <c r="I379" s="7" t="str">
        <f>IFERROR(INDEX(Modelos!$E$2:$E$301,MATCH($B379,Modelos!$C$2:$C$301,0))&amp;"","")</f>
        <v/>
      </c>
      <c r="J379" s="7" t="str">
        <f>IFERROR(INDEX(Modelos!$F$2:$F$301,MATCH($B379,Modelos!$C$2:$C$301,0))&amp;"","")</f>
        <v/>
      </c>
      <c r="K379" s="7" t="str">
        <f>IFERROR(INDEX(Modelos!$G$2:$G$301,MATCH($B379,Modelos!$C$2:$C$301,0))&amp;"","")</f>
        <v/>
      </c>
      <c r="L379" s="7" t="str">
        <f>IFERROR(INDEX(Diccionarios!$G$2:$G$201,MATCH($C379,Diccionarios!$H$2:$H$201,0))&amp;"","")</f>
        <v/>
      </c>
      <c r="M379" s="7" t="str">
        <f>IF(D379="","",D379&amp;"")</f>
        <v/>
      </c>
      <c r="N379" s="8" t="str">
        <f>IF($B379="","",IFERROR(INDEX(Modelos!$H$2:$H$301,MATCH($B379,Modelos!$C$2:$C$301,0)),""))</f>
        <v/>
      </c>
      <c r="O379" s="8" t="str">
        <f>IF($B379="","",IFERROR(INDEX(Modelos!$I$2:$I$301,MATCH($B379,Modelos!$C$2:$C$301,0)),""))</f>
        <v/>
      </c>
      <c r="P379" s="8" t="str">
        <f>IF($B379="","",IFERROR(INDEX(Modelos!$J$2:$J$301,MATCH($B379,Modelos!$C$2:$C$301,0)),""))</f>
        <v/>
      </c>
      <c r="Q379" s="7" t="str">
        <f>IFERROR(INDEX(Diccionarios!$B$2:$B$201,MATCH($A379,Diccionarios!$D$2:$D$201,0))&amp;"","")</f>
        <v/>
      </c>
      <c r="R379" s="7" t="str">
        <f>IFERROR(INDEX(Diccionarios!$C$2:$C$201,MATCH($A379,Diccionarios!$D$2:$D$201,0))&amp;"","")</f>
        <v/>
      </c>
      <c r="S379" s="7" t="str">
        <f>IFERROR(INDEX(Modelos!$K$2:$K$301,MATCH($B379,Modelos!$C$2:$C$301,0))&amp;"","")</f>
        <v/>
      </c>
      <c r="T379" s="7" t="str">
        <f>IFERROR(INDEX(Modelos!$L$2:$L$301,MATCH($B379,Modelos!$C$2:$C$301,0))&amp;"","")</f>
        <v/>
      </c>
    </row>
    <row r="380" spans="1:20" x14ac:dyDescent="0.25">
      <c r="A380" s="5"/>
      <c r="B380" s="5"/>
      <c r="C380" s="5"/>
      <c r="D380" s="6"/>
      <c r="E380" s="5"/>
      <c r="F380" s="7" t="str">
        <f>IF(AND(A380&lt;&gt;"",B380&lt;&gt;"",C380&lt;&gt;"",D380&lt;&gt;""),LEFT(A380,2)&amp;LEFT(B380,4)&amp;LEFT(C380,2)&amp;SUBSTITUTE(UPPER(D380),"Ú","U"),"")</f>
        <v/>
      </c>
      <c r="G380" s="7" t="str">
        <f>IFERROR(INDEX(Modelos!$B$2:$B$301,MATCH($B380,Modelos!$C$2:$C$301,0))&amp;"","")</f>
        <v/>
      </c>
      <c r="H380" s="7" t="str">
        <f>IFERROR(INDEX(Modelos!$D$2:$D$301,MATCH($B380,Modelos!$C$2:$C$301,0))&amp;"","")</f>
        <v/>
      </c>
      <c r="I380" s="7" t="str">
        <f>IFERROR(INDEX(Modelos!$E$2:$E$301,MATCH($B380,Modelos!$C$2:$C$301,0))&amp;"","")</f>
        <v/>
      </c>
      <c r="J380" s="7" t="str">
        <f>IFERROR(INDEX(Modelos!$F$2:$F$301,MATCH($B380,Modelos!$C$2:$C$301,0))&amp;"","")</f>
        <v/>
      </c>
      <c r="K380" s="7" t="str">
        <f>IFERROR(INDEX(Modelos!$G$2:$G$301,MATCH($B380,Modelos!$C$2:$C$301,0))&amp;"","")</f>
        <v/>
      </c>
      <c r="L380" s="7" t="str">
        <f>IFERROR(INDEX(Diccionarios!$G$2:$G$201,MATCH($C380,Diccionarios!$H$2:$H$201,0))&amp;"","")</f>
        <v/>
      </c>
      <c r="M380" s="7" t="str">
        <f>IF(D380="","",D380&amp;"")</f>
        <v/>
      </c>
      <c r="N380" s="8" t="str">
        <f>IF($B380="","",IFERROR(INDEX(Modelos!$H$2:$H$301,MATCH($B380,Modelos!$C$2:$C$301,0)),""))</f>
        <v/>
      </c>
      <c r="O380" s="8" t="str">
        <f>IF($B380="","",IFERROR(INDEX(Modelos!$I$2:$I$301,MATCH($B380,Modelos!$C$2:$C$301,0)),""))</f>
        <v/>
      </c>
      <c r="P380" s="8" t="str">
        <f>IF($B380="","",IFERROR(INDEX(Modelos!$J$2:$J$301,MATCH($B380,Modelos!$C$2:$C$301,0)),""))</f>
        <v/>
      </c>
      <c r="Q380" s="7" t="str">
        <f>IFERROR(INDEX(Diccionarios!$B$2:$B$201,MATCH($A380,Diccionarios!$D$2:$D$201,0))&amp;"","")</f>
        <v/>
      </c>
      <c r="R380" s="7" t="str">
        <f>IFERROR(INDEX(Diccionarios!$C$2:$C$201,MATCH($A380,Diccionarios!$D$2:$D$201,0))&amp;"","")</f>
        <v/>
      </c>
      <c r="S380" s="7" t="str">
        <f>IFERROR(INDEX(Modelos!$K$2:$K$301,MATCH($B380,Modelos!$C$2:$C$301,0))&amp;"","")</f>
        <v/>
      </c>
      <c r="T380" s="7" t="str">
        <f>IFERROR(INDEX(Modelos!$L$2:$L$301,MATCH($B380,Modelos!$C$2:$C$301,0))&amp;"","")</f>
        <v/>
      </c>
    </row>
    <row r="381" spans="1:20" x14ac:dyDescent="0.25">
      <c r="A381" s="5"/>
      <c r="B381" s="5"/>
      <c r="C381" s="5"/>
      <c r="D381" s="6"/>
      <c r="E381" s="5"/>
      <c r="F381" s="7" t="str">
        <f>IF(AND(A381&lt;&gt;"",B381&lt;&gt;"",C381&lt;&gt;"",D381&lt;&gt;""),LEFT(A381,2)&amp;LEFT(B381,4)&amp;LEFT(C381,2)&amp;SUBSTITUTE(UPPER(D381),"Ú","U"),"")</f>
        <v/>
      </c>
      <c r="G381" s="7" t="str">
        <f>IFERROR(INDEX(Modelos!$B$2:$B$301,MATCH($B381,Modelos!$C$2:$C$301,0))&amp;"","")</f>
        <v/>
      </c>
      <c r="H381" s="7" t="str">
        <f>IFERROR(INDEX(Modelos!$D$2:$D$301,MATCH($B381,Modelos!$C$2:$C$301,0))&amp;"","")</f>
        <v/>
      </c>
      <c r="I381" s="7" t="str">
        <f>IFERROR(INDEX(Modelos!$E$2:$E$301,MATCH($B381,Modelos!$C$2:$C$301,0))&amp;"","")</f>
        <v/>
      </c>
      <c r="J381" s="7" t="str">
        <f>IFERROR(INDEX(Modelos!$F$2:$F$301,MATCH($B381,Modelos!$C$2:$C$301,0))&amp;"","")</f>
        <v/>
      </c>
      <c r="K381" s="7" t="str">
        <f>IFERROR(INDEX(Modelos!$G$2:$G$301,MATCH($B381,Modelos!$C$2:$C$301,0))&amp;"","")</f>
        <v/>
      </c>
      <c r="L381" s="7" t="str">
        <f>IFERROR(INDEX(Diccionarios!$G$2:$G$201,MATCH($C381,Diccionarios!$H$2:$H$201,0))&amp;"","")</f>
        <v/>
      </c>
      <c r="M381" s="7" t="str">
        <f>IF(D381="","",D381&amp;"")</f>
        <v/>
      </c>
      <c r="N381" s="8" t="str">
        <f>IF($B381="","",IFERROR(INDEX(Modelos!$H$2:$H$301,MATCH($B381,Modelos!$C$2:$C$301,0)),""))</f>
        <v/>
      </c>
      <c r="O381" s="8" t="str">
        <f>IF($B381="","",IFERROR(INDEX(Modelos!$I$2:$I$301,MATCH($B381,Modelos!$C$2:$C$301,0)),""))</f>
        <v/>
      </c>
      <c r="P381" s="8" t="str">
        <f>IF($B381="","",IFERROR(INDEX(Modelos!$J$2:$J$301,MATCH($B381,Modelos!$C$2:$C$301,0)),""))</f>
        <v/>
      </c>
      <c r="Q381" s="7" t="str">
        <f>IFERROR(INDEX(Diccionarios!$B$2:$B$201,MATCH($A381,Diccionarios!$D$2:$D$201,0))&amp;"","")</f>
        <v/>
      </c>
      <c r="R381" s="7" t="str">
        <f>IFERROR(INDEX(Diccionarios!$C$2:$C$201,MATCH($A381,Diccionarios!$D$2:$D$201,0))&amp;"","")</f>
        <v/>
      </c>
      <c r="S381" s="7" t="str">
        <f>IFERROR(INDEX(Modelos!$K$2:$K$301,MATCH($B381,Modelos!$C$2:$C$301,0))&amp;"","")</f>
        <v/>
      </c>
      <c r="T381" s="7" t="str">
        <f>IFERROR(INDEX(Modelos!$L$2:$L$301,MATCH($B381,Modelos!$C$2:$C$301,0))&amp;"","")</f>
        <v/>
      </c>
    </row>
    <row r="382" spans="1:20" x14ac:dyDescent="0.25">
      <c r="A382" s="5"/>
      <c r="B382" s="5"/>
      <c r="C382" s="5"/>
      <c r="D382" s="6"/>
      <c r="E382" s="5"/>
      <c r="F382" s="7" t="str">
        <f>IF(AND(A382&lt;&gt;"",B382&lt;&gt;"",C382&lt;&gt;"",D382&lt;&gt;""),LEFT(A382,2)&amp;LEFT(B382,4)&amp;LEFT(C382,2)&amp;SUBSTITUTE(UPPER(D382),"Ú","U"),"")</f>
        <v/>
      </c>
      <c r="G382" s="7" t="str">
        <f>IFERROR(INDEX(Modelos!$B$2:$B$301,MATCH($B382,Modelos!$C$2:$C$301,0))&amp;"","")</f>
        <v/>
      </c>
      <c r="H382" s="7" t="str">
        <f>IFERROR(INDEX(Modelos!$D$2:$D$301,MATCH($B382,Modelos!$C$2:$C$301,0))&amp;"","")</f>
        <v/>
      </c>
      <c r="I382" s="7" t="str">
        <f>IFERROR(INDEX(Modelos!$E$2:$E$301,MATCH($B382,Modelos!$C$2:$C$301,0))&amp;"","")</f>
        <v/>
      </c>
      <c r="J382" s="7" t="str">
        <f>IFERROR(INDEX(Modelos!$F$2:$F$301,MATCH($B382,Modelos!$C$2:$C$301,0))&amp;"","")</f>
        <v/>
      </c>
      <c r="K382" s="7" t="str">
        <f>IFERROR(INDEX(Modelos!$G$2:$G$301,MATCH($B382,Modelos!$C$2:$C$301,0))&amp;"","")</f>
        <v/>
      </c>
      <c r="L382" s="7" t="str">
        <f>IFERROR(INDEX(Diccionarios!$G$2:$G$201,MATCH($C382,Diccionarios!$H$2:$H$201,0))&amp;"","")</f>
        <v/>
      </c>
      <c r="M382" s="7" t="str">
        <f>IF(D382="","",D382&amp;"")</f>
        <v/>
      </c>
      <c r="N382" s="8" t="str">
        <f>IF($B382="","",IFERROR(INDEX(Modelos!$H$2:$H$301,MATCH($B382,Modelos!$C$2:$C$301,0)),""))</f>
        <v/>
      </c>
      <c r="O382" s="8" t="str">
        <f>IF($B382="","",IFERROR(INDEX(Modelos!$I$2:$I$301,MATCH($B382,Modelos!$C$2:$C$301,0)),""))</f>
        <v/>
      </c>
      <c r="P382" s="8" t="str">
        <f>IF($B382="","",IFERROR(INDEX(Modelos!$J$2:$J$301,MATCH($B382,Modelos!$C$2:$C$301,0)),""))</f>
        <v/>
      </c>
      <c r="Q382" s="7" t="str">
        <f>IFERROR(INDEX(Diccionarios!$B$2:$B$201,MATCH($A382,Diccionarios!$D$2:$D$201,0))&amp;"","")</f>
        <v/>
      </c>
      <c r="R382" s="7" t="str">
        <f>IFERROR(INDEX(Diccionarios!$C$2:$C$201,MATCH($A382,Diccionarios!$D$2:$D$201,0))&amp;"","")</f>
        <v/>
      </c>
      <c r="S382" s="7" t="str">
        <f>IFERROR(INDEX(Modelos!$K$2:$K$301,MATCH($B382,Modelos!$C$2:$C$301,0))&amp;"","")</f>
        <v/>
      </c>
      <c r="T382" s="7" t="str">
        <f>IFERROR(INDEX(Modelos!$L$2:$L$301,MATCH($B382,Modelos!$C$2:$C$301,0))&amp;"","")</f>
        <v/>
      </c>
    </row>
    <row r="383" spans="1:20" x14ac:dyDescent="0.25">
      <c r="A383" s="5"/>
      <c r="B383" s="5"/>
      <c r="C383" s="5"/>
      <c r="D383" s="6"/>
      <c r="E383" s="5"/>
      <c r="F383" s="7" t="str">
        <f>IF(AND(A383&lt;&gt;"",B383&lt;&gt;"",C383&lt;&gt;"",D383&lt;&gt;""),LEFT(A383,2)&amp;LEFT(B383,4)&amp;LEFT(C383,2)&amp;SUBSTITUTE(UPPER(D383),"Ú","U"),"")</f>
        <v/>
      </c>
      <c r="G383" s="7" t="str">
        <f>IFERROR(INDEX(Modelos!$B$2:$B$301,MATCH($B383,Modelos!$C$2:$C$301,0))&amp;"","")</f>
        <v/>
      </c>
      <c r="H383" s="7" t="str">
        <f>IFERROR(INDEX(Modelos!$D$2:$D$301,MATCH($B383,Modelos!$C$2:$C$301,0))&amp;"","")</f>
        <v/>
      </c>
      <c r="I383" s="7" t="str">
        <f>IFERROR(INDEX(Modelos!$E$2:$E$301,MATCH($B383,Modelos!$C$2:$C$301,0))&amp;"","")</f>
        <v/>
      </c>
      <c r="J383" s="7" t="str">
        <f>IFERROR(INDEX(Modelos!$F$2:$F$301,MATCH($B383,Modelos!$C$2:$C$301,0))&amp;"","")</f>
        <v/>
      </c>
      <c r="K383" s="7" t="str">
        <f>IFERROR(INDEX(Modelos!$G$2:$G$301,MATCH($B383,Modelos!$C$2:$C$301,0))&amp;"","")</f>
        <v/>
      </c>
      <c r="L383" s="7" t="str">
        <f>IFERROR(INDEX(Diccionarios!$G$2:$G$201,MATCH($C383,Diccionarios!$H$2:$H$201,0))&amp;"","")</f>
        <v/>
      </c>
      <c r="M383" s="7" t="str">
        <f>IF(D383="","",D383&amp;"")</f>
        <v/>
      </c>
      <c r="N383" s="8" t="str">
        <f>IF($B383="","",IFERROR(INDEX(Modelos!$H$2:$H$301,MATCH($B383,Modelos!$C$2:$C$301,0)),""))</f>
        <v/>
      </c>
      <c r="O383" s="8" t="str">
        <f>IF($B383="","",IFERROR(INDEX(Modelos!$I$2:$I$301,MATCH($B383,Modelos!$C$2:$C$301,0)),""))</f>
        <v/>
      </c>
      <c r="P383" s="8" t="str">
        <f>IF($B383="","",IFERROR(INDEX(Modelos!$J$2:$J$301,MATCH($B383,Modelos!$C$2:$C$301,0)),""))</f>
        <v/>
      </c>
      <c r="Q383" s="7" t="str">
        <f>IFERROR(INDEX(Diccionarios!$B$2:$B$201,MATCH($A383,Diccionarios!$D$2:$D$201,0))&amp;"","")</f>
        <v/>
      </c>
      <c r="R383" s="7" t="str">
        <f>IFERROR(INDEX(Diccionarios!$C$2:$C$201,MATCH($A383,Diccionarios!$D$2:$D$201,0))&amp;"","")</f>
        <v/>
      </c>
      <c r="S383" s="7" t="str">
        <f>IFERROR(INDEX(Modelos!$K$2:$K$301,MATCH($B383,Modelos!$C$2:$C$301,0))&amp;"","")</f>
        <v/>
      </c>
      <c r="T383" s="7" t="str">
        <f>IFERROR(INDEX(Modelos!$L$2:$L$301,MATCH($B383,Modelos!$C$2:$C$301,0))&amp;"","")</f>
        <v/>
      </c>
    </row>
    <row r="384" spans="1:20" x14ac:dyDescent="0.25">
      <c r="A384" s="5"/>
      <c r="B384" s="5"/>
      <c r="C384" s="5"/>
      <c r="D384" s="6"/>
      <c r="E384" s="5"/>
      <c r="F384" s="7" t="str">
        <f>IF(AND(A384&lt;&gt;"",B384&lt;&gt;"",C384&lt;&gt;"",D384&lt;&gt;""),LEFT(A384,2)&amp;LEFT(B384,4)&amp;LEFT(C384,2)&amp;SUBSTITUTE(UPPER(D384),"Ú","U"),"")</f>
        <v/>
      </c>
      <c r="G384" s="7" t="str">
        <f>IFERROR(INDEX(Modelos!$B$2:$B$301,MATCH($B384,Modelos!$C$2:$C$301,0))&amp;"","")</f>
        <v/>
      </c>
      <c r="H384" s="7" t="str">
        <f>IFERROR(INDEX(Modelos!$D$2:$D$301,MATCH($B384,Modelos!$C$2:$C$301,0))&amp;"","")</f>
        <v/>
      </c>
      <c r="I384" s="7" t="str">
        <f>IFERROR(INDEX(Modelos!$E$2:$E$301,MATCH($B384,Modelos!$C$2:$C$301,0))&amp;"","")</f>
        <v/>
      </c>
      <c r="J384" s="7" t="str">
        <f>IFERROR(INDEX(Modelos!$F$2:$F$301,MATCH($B384,Modelos!$C$2:$C$301,0))&amp;"","")</f>
        <v/>
      </c>
      <c r="K384" s="7" t="str">
        <f>IFERROR(INDEX(Modelos!$G$2:$G$301,MATCH($B384,Modelos!$C$2:$C$301,0))&amp;"","")</f>
        <v/>
      </c>
      <c r="L384" s="7" t="str">
        <f>IFERROR(INDEX(Diccionarios!$G$2:$G$201,MATCH($C384,Diccionarios!$H$2:$H$201,0))&amp;"","")</f>
        <v/>
      </c>
      <c r="M384" s="7" t="str">
        <f>IF(D384="","",D384&amp;"")</f>
        <v/>
      </c>
      <c r="N384" s="8" t="str">
        <f>IF($B384="","",IFERROR(INDEX(Modelos!$H$2:$H$301,MATCH($B384,Modelos!$C$2:$C$301,0)),""))</f>
        <v/>
      </c>
      <c r="O384" s="8" t="str">
        <f>IF($B384="","",IFERROR(INDEX(Modelos!$I$2:$I$301,MATCH($B384,Modelos!$C$2:$C$301,0)),""))</f>
        <v/>
      </c>
      <c r="P384" s="8" t="str">
        <f>IF($B384="","",IFERROR(INDEX(Modelos!$J$2:$J$301,MATCH($B384,Modelos!$C$2:$C$301,0)),""))</f>
        <v/>
      </c>
      <c r="Q384" s="7" t="str">
        <f>IFERROR(INDEX(Diccionarios!$B$2:$B$201,MATCH($A384,Diccionarios!$D$2:$D$201,0))&amp;"","")</f>
        <v/>
      </c>
      <c r="R384" s="7" t="str">
        <f>IFERROR(INDEX(Diccionarios!$C$2:$C$201,MATCH($A384,Diccionarios!$D$2:$D$201,0))&amp;"","")</f>
        <v/>
      </c>
      <c r="S384" s="7" t="str">
        <f>IFERROR(INDEX(Modelos!$K$2:$K$301,MATCH($B384,Modelos!$C$2:$C$301,0))&amp;"","")</f>
        <v/>
      </c>
      <c r="T384" s="7" t="str">
        <f>IFERROR(INDEX(Modelos!$L$2:$L$301,MATCH($B384,Modelos!$C$2:$C$301,0))&amp;"","")</f>
        <v/>
      </c>
    </row>
    <row r="385" spans="1:20" x14ac:dyDescent="0.25">
      <c r="A385" s="5"/>
      <c r="B385" s="5"/>
      <c r="C385" s="5"/>
      <c r="D385" s="6"/>
      <c r="E385" s="5"/>
      <c r="F385" s="7" t="str">
        <f>IF(AND(A385&lt;&gt;"",B385&lt;&gt;"",C385&lt;&gt;"",D385&lt;&gt;""),LEFT(A385,2)&amp;LEFT(B385,4)&amp;LEFT(C385,2)&amp;SUBSTITUTE(UPPER(D385),"Ú","U"),"")</f>
        <v/>
      </c>
      <c r="G385" s="7" t="str">
        <f>IFERROR(INDEX(Modelos!$B$2:$B$301,MATCH($B385,Modelos!$C$2:$C$301,0))&amp;"","")</f>
        <v/>
      </c>
      <c r="H385" s="7" t="str">
        <f>IFERROR(INDEX(Modelos!$D$2:$D$301,MATCH($B385,Modelos!$C$2:$C$301,0))&amp;"","")</f>
        <v/>
      </c>
      <c r="I385" s="7" t="str">
        <f>IFERROR(INDEX(Modelos!$E$2:$E$301,MATCH($B385,Modelos!$C$2:$C$301,0))&amp;"","")</f>
        <v/>
      </c>
      <c r="J385" s="7" t="str">
        <f>IFERROR(INDEX(Modelos!$F$2:$F$301,MATCH($B385,Modelos!$C$2:$C$301,0))&amp;"","")</f>
        <v/>
      </c>
      <c r="K385" s="7" t="str">
        <f>IFERROR(INDEX(Modelos!$G$2:$G$301,MATCH($B385,Modelos!$C$2:$C$301,0))&amp;"","")</f>
        <v/>
      </c>
      <c r="L385" s="7" t="str">
        <f>IFERROR(INDEX(Diccionarios!$G$2:$G$201,MATCH($C385,Diccionarios!$H$2:$H$201,0))&amp;"","")</f>
        <v/>
      </c>
      <c r="M385" s="7" t="str">
        <f>IF(D385="","",D385&amp;"")</f>
        <v/>
      </c>
      <c r="N385" s="8" t="str">
        <f>IF($B385="","",IFERROR(INDEX(Modelos!$H$2:$H$301,MATCH($B385,Modelos!$C$2:$C$301,0)),""))</f>
        <v/>
      </c>
      <c r="O385" s="8" t="str">
        <f>IF($B385="","",IFERROR(INDEX(Modelos!$I$2:$I$301,MATCH($B385,Modelos!$C$2:$C$301,0)),""))</f>
        <v/>
      </c>
      <c r="P385" s="8" t="str">
        <f>IF($B385="","",IFERROR(INDEX(Modelos!$J$2:$J$301,MATCH($B385,Modelos!$C$2:$C$301,0)),""))</f>
        <v/>
      </c>
      <c r="Q385" s="7" t="str">
        <f>IFERROR(INDEX(Diccionarios!$B$2:$B$201,MATCH($A385,Diccionarios!$D$2:$D$201,0))&amp;"","")</f>
        <v/>
      </c>
      <c r="R385" s="7" t="str">
        <f>IFERROR(INDEX(Diccionarios!$C$2:$C$201,MATCH($A385,Diccionarios!$D$2:$D$201,0))&amp;"","")</f>
        <v/>
      </c>
      <c r="S385" s="7" t="str">
        <f>IFERROR(INDEX(Modelos!$K$2:$K$301,MATCH($B385,Modelos!$C$2:$C$301,0))&amp;"","")</f>
        <v/>
      </c>
      <c r="T385" s="7" t="str">
        <f>IFERROR(INDEX(Modelos!$L$2:$L$301,MATCH($B385,Modelos!$C$2:$C$301,0))&amp;"","")</f>
        <v/>
      </c>
    </row>
    <row r="386" spans="1:20" x14ac:dyDescent="0.25">
      <c r="A386" s="5"/>
      <c r="B386" s="5"/>
      <c r="C386" s="5"/>
      <c r="D386" s="6"/>
      <c r="E386" s="5"/>
      <c r="F386" s="7" t="str">
        <f>IF(AND(A386&lt;&gt;"",B386&lt;&gt;"",C386&lt;&gt;"",D386&lt;&gt;""),LEFT(A386,2)&amp;LEFT(B386,4)&amp;LEFT(C386,2)&amp;SUBSTITUTE(UPPER(D386),"Ú","U"),"")</f>
        <v/>
      </c>
      <c r="G386" s="7" t="str">
        <f>IFERROR(INDEX(Modelos!$B$2:$B$301,MATCH($B386,Modelos!$C$2:$C$301,0))&amp;"","")</f>
        <v/>
      </c>
      <c r="H386" s="7" t="str">
        <f>IFERROR(INDEX(Modelos!$D$2:$D$301,MATCH($B386,Modelos!$C$2:$C$301,0))&amp;"","")</f>
        <v/>
      </c>
      <c r="I386" s="7" t="str">
        <f>IFERROR(INDEX(Modelos!$E$2:$E$301,MATCH($B386,Modelos!$C$2:$C$301,0))&amp;"","")</f>
        <v/>
      </c>
      <c r="J386" s="7" t="str">
        <f>IFERROR(INDEX(Modelos!$F$2:$F$301,MATCH($B386,Modelos!$C$2:$C$301,0))&amp;"","")</f>
        <v/>
      </c>
      <c r="K386" s="7" t="str">
        <f>IFERROR(INDEX(Modelos!$G$2:$G$301,MATCH($B386,Modelos!$C$2:$C$301,0))&amp;"","")</f>
        <v/>
      </c>
      <c r="L386" s="7" t="str">
        <f>IFERROR(INDEX(Diccionarios!$G$2:$G$201,MATCH($C386,Diccionarios!$H$2:$H$201,0))&amp;"","")</f>
        <v/>
      </c>
      <c r="M386" s="7" t="str">
        <f>IF(D386="","",D386&amp;"")</f>
        <v/>
      </c>
      <c r="N386" s="8" t="str">
        <f>IF($B386="","",IFERROR(INDEX(Modelos!$H$2:$H$301,MATCH($B386,Modelos!$C$2:$C$301,0)),""))</f>
        <v/>
      </c>
      <c r="O386" s="8" t="str">
        <f>IF($B386="","",IFERROR(INDEX(Modelos!$I$2:$I$301,MATCH($B386,Modelos!$C$2:$C$301,0)),""))</f>
        <v/>
      </c>
      <c r="P386" s="8" t="str">
        <f>IF($B386="","",IFERROR(INDEX(Modelos!$J$2:$J$301,MATCH($B386,Modelos!$C$2:$C$301,0)),""))</f>
        <v/>
      </c>
      <c r="Q386" s="7" t="str">
        <f>IFERROR(INDEX(Diccionarios!$B$2:$B$201,MATCH($A386,Diccionarios!$D$2:$D$201,0))&amp;"","")</f>
        <v/>
      </c>
      <c r="R386" s="7" t="str">
        <f>IFERROR(INDEX(Diccionarios!$C$2:$C$201,MATCH($A386,Diccionarios!$D$2:$D$201,0))&amp;"","")</f>
        <v/>
      </c>
      <c r="S386" s="7" t="str">
        <f>IFERROR(INDEX(Modelos!$K$2:$K$301,MATCH($B386,Modelos!$C$2:$C$301,0))&amp;"","")</f>
        <v/>
      </c>
      <c r="T386" s="7" t="str">
        <f>IFERROR(INDEX(Modelos!$L$2:$L$301,MATCH($B386,Modelos!$C$2:$C$301,0))&amp;"","")</f>
        <v/>
      </c>
    </row>
    <row r="387" spans="1:20" x14ac:dyDescent="0.25">
      <c r="A387" s="5"/>
      <c r="B387" s="5"/>
      <c r="C387" s="5"/>
      <c r="D387" s="6"/>
      <c r="E387" s="5"/>
      <c r="F387" s="7" t="str">
        <f>IF(AND(A387&lt;&gt;"",B387&lt;&gt;"",C387&lt;&gt;"",D387&lt;&gt;""),LEFT(A387,2)&amp;LEFT(B387,4)&amp;LEFT(C387,2)&amp;SUBSTITUTE(UPPER(D387),"Ú","U"),"")</f>
        <v/>
      </c>
      <c r="G387" s="7" t="str">
        <f>IFERROR(INDEX(Modelos!$B$2:$B$301,MATCH($B387,Modelos!$C$2:$C$301,0))&amp;"","")</f>
        <v/>
      </c>
      <c r="H387" s="7" t="str">
        <f>IFERROR(INDEX(Modelos!$D$2:$D$301,MATCH($B387,Modelos!$C$2:$C$301,0))&amp;"","")</f>
        <v/>
      </c>
      <c r="I387" s="7" t="str">
        <f>IFERROR(INDEX(Modelos!$E$2:$E$301,MATCH($B387,Modelos!$C$2:$C$301,0))&amp;"","")</f>
        <v/>
      </c>
      <c r="J387" s="7" t="str">
        <f>IFERROR(INDEX(Modelos!$F$2:$F$301,MATCH($B387,Modelos!$C$2:$C$301,0))&amp;"","")</f>
        <v/>
      </c>
      <c r="K387" s="7" t="str">
        <f>IFERROR(INDEX(Modelos!$G$2:$G$301,MATCH($B387,Modelos!$C$2:$C$301,0))&amp;"","")</f>
        <v/>
      </c>
      <c r="L387" s="7" t="str">
        <f>IFERROR(INDEX(Diccionarios!$G$2:$G$201,MATCH($C387,Diccionarios!$H$2:$H$201,0))&amp;"","")</f>
        <v/>
      </c>
      <c r="M387" s="7" t="str">
        <f>IF(D387="","",D387&amp;"")</f>
        <v/>
      </c>
      <c r="N387" s="8" t="str">
        <f>IF($B387="","",IFERROR(INDEX(Modelos!$H$2:$H$301,MATCH($B387,Modelos!$C$2:$C$301,0)),""))</f>
        <v/>
      </c>
      <c r="O387" s="8" t="str">
        <f>IF($B387="","",IFERROR(INDEX(Modelos!$I$2:$I$301,MATCH($B387,Modelos!$C$2:$C$301,0)),""))</f>
        <v/>
      </c>
      <c r="P387" s="8" t="str">
        <f>IF($B387="","",IFERROR(INDEX(Modelos!$J$2:$J$301,MATCH($B387,Modelos!$C$2:$C$301,0)),""))</f>
        <v/>
      </c>
      <c r="Q387" s="7" t="str">
        <f>IFERROR(INDEX(Diccionarios!$B$2:$B$201,MATCH($A387,Diccionarios!$D$2:$D$201,0))&amp;"","")</f>
        <v/>
      </c>
      <c r="R387" s="7" t="str">
        <f>IFERROR(INDEX(Diccionarios!$C$2:$C$201,MATCH($A387,Diccionarios!$D$2:$D$201,0))&amp;"","")</f>
        <v/>
      </c>
      <c r="S387" s="7" t="str">
        <f>IFERROR(INDEX(Modelos!$K$2:$K$301,MATCH($B387,Modelos!$C$2:$C$301,0))&amp;"","")</f>
        <v/>
      </c>
      <c r="T387" s="7" t="str">
        <f>IFERROR(INDEX(Modelos!$L$2:$L$301,MATCH($B387,Modelos!$C$2:$C$301,0))&amp;"","")</f>
        <v/>
      </c>
    </row>
    <row r="388" spans="1:20" x14ac:dyDescent="0.25">
      <c r="A388" s="5"/>
      <c r="B388" s="5"/>
      <c r="C388" s="5"/>
      <c r="D388" s="6"/>
      <c r="E388" s="5"/>
      <c r="F388" s="7" t="str">
        <f>IF(AND(A388&lt;&gt;"",B388&lt;&gt;"",C388&lt;&gt;"",D388&lt;&gt;""),LEFT(A388,2)&amp;LEFT(B388,4)&amp;LEFT(C388,2)&amp;SUBSTITUTE(UPPER(D388),"Ú","U"),"")</f>
        <v/>
      </c>
      <c r="G388" s="7" t="str">
        <f>IFERROR(INDEX(Modelos!$B$2:$B$301,MATCH($B388,Modelos!$C$2:$C$301,0))&amp;"","")</f>
        <v/>
      </c>
      <c r="H388" s="7" t="str">
        <f>IFERROR(INDEX(Modelos!$D$2:$D$301,MATCH($B388,Modelos!$C$2:$C$301,0))&amp;"","")</f>
        <v/>
      </c>
      <c r="I388" s="7" t="str">
        <f>IFERROR(INDEX(Modelos!$E$2:$E$301,MATCH($B388,Modelos!$C$2:$C$301,0))&amp;"","")</f>
        <v/>
      </c>
      <c r="J388" s="7" t="str">
        <f>IFERROR(INDEX(Modelos!$F$2:$F$301,MATCH($B388,Modelos!$C$2:$C$301,0))&amp;"","")</f>
        <v/>
      </c>
      <c r="K388" s="7" t="str">
        <f>IFERROR(INDEX(Modelos!$G$2:$G$301,MATCH($B388,Modelos!$C$2:$C$301,0))&amp;"","")</f>
        <v/>
      </c>
      <c r="L388" s="7" t="str">
        <f>IFERROR(INDEX(Diccionarios!$G$2:$G$201,MATCH($C388,Diccionarios!$H$2:$H$201,0))&amp;"","")</f>
        <v/>
      </c>
      <c r="M388" s="7" t="str">
        <f>IF(D388="","",D388&amp;"")</f>
        <v/>
      </c>
      <c r="N388" s="8" t="str">
        <f>IF($B388="","",IFERROR(INDEX(Modelos!$H$2:$H$301,MATCH($B388,Modelos!$C$2:$C$301,0)),""))</f>
        <v/>
      </c>
      <c r="O388" s="8" t="str">
        <f>IF($B388="","",IFERROR(INDEX(Modelos!$I$2:$I$301,MATCH($B388,Modelos!$C$2:$C$301,0)),""))</f>
        <v/>
      </c>
      <c r="P388" s="8" t="str">
        <f>IF($B388="","",IFERROR(INDEX(Modelos!$J$2:$J$301,MATCH($B388,Modelos!$C$2:$C$301,0)),""))</f>
        <v/>
      </c>
      <c r="Q388" s="7" t="str">
        <f>IFERROR(INDEX(Diccionarios!$B$2:$B$201,MATCH($A388,Diccionarios!$D$2:$D$201,0))&amp;"","")</f>
        <v/>
      </c>
      <c r="R388" s="7" t="str">
        <f>IFERROR(INDEX(Diccionarios!$C$2:$C$201,MATCH($A388,Diccionarios!$D$2:$D$201,0))&amp;"","")</f>
        <v/>
      </c>
      <c r="S388" s="7" t="str">
        <f>IFERROR(INDEX(Modelos!$K$2:$K$301,MATCH($B388,Modelos!$C$2:$C$301,0))&amp;"","")</f>
        <v/>
      </c>
      <c r="T388" s="7" t="str">
        <f>IFERROR(INDEX(Modelos!$L$2:$L$301,MATCH($B388,Modelos!$C$2:$C$301,0))&amp;"","")</f>
        <v/>
      </c>
    </row>
    <row r="389" spans="1:20" x14ac:dyDescent="0.25">
      <c r="A389" s="5"/>
      <c r="B389" s="5"/>
      <c r="C389" s="5"/>
      <c r="D389" s="6"/>
      <c r="E389" s="5"/>
      <c r="F389" s="7" t="str">
        <f>IF(AND(A389&lt;&gt;"",B389&lt;&gt;"",C389&lt;&gt;"",D389&lt;&gt;""),LEFT(A389,2)&amp;LEFT(B389,4)&amp;LEFT(C389,2)&amp;SUBSTITUTE(UPPER(D389),"Ú","U"),"")</f>
        <v/>
      </c>
      <c r="G389" s="7" t="str">
        <f>IFERROR(INDEX(Modelos!$B$2:$B$301,MATCH($B389,Modelos!$C$2:$C$301,0))&amp;"","")</f>
        <v/>
      </c>
      <c r="H389" s="7" t="str">
        <f>IFERROR(INDEX(Modelos!$D$2:$D$301,MATCH($B389,Modelos!$C$2:$C$301,0))&amp;"","")</f>
        <v/>
      </c>
      <c r="I389" s="7" t="str">
        <f>IFERROR(INDEX(Modelos!$E$2:$E$301,MATCH($B389,Modelos!$C$2:$C$301,0))&amp;"","")</f>
        <v/>
      </c>
      <c r="J389" s="7" t="str">
        <f>IFERROR(INDEX(Modelos!$F$2:$F$301,MATCH($B389,Modelos!$C$2:$C$301,0))&amp;"","")</f>
        <v/>
      </c>
      <c r="K389" s="7" t="str">
        <f>IFERROR(INDEX(Modelos!$G$2:$G$301,MATCH($B389,Modelos!$C$2:$C$301,0))&amp;"","")</f>
        <v/>
      </c>
      <c r="L389" s="7" t="str">
        <f>IFERROR(INDEX(Diccionarios!$G$2:$G$201,MATCH($C389,Diccionarios!$H$2:$H$201,0))&amp;"","")</f>
        <v/>
      </c>
      <c r="M389" s="7" t="str">
        <f>IF(D389="","",D389&amp;"")</f>
        <v/>
      </c>
      <c r="N389" s="8" t="str">
        <f>IF($B389="","",IFERROR(INDEX(Modelos!$H$2:$H$301,MATCH($B389,Modelos!$C$2:$C$301,0)),""))</f>
        <v/>
      </c>
      <c r="O389" s="8" t="str">
        <f>IF($B389="","",IFERROR(INDEX(Modelos!$I$2:$I$301,MATCH($B389,Modelos!$C$2:$C$301,0)),""))</f>
        <v/>
      </c>
      <c r="P389" s="8" t="str">
        <f>IF($B389="","",IFERROR(INDEX(Modelos!$J$2:$J$301,MATCH($B389,Modelos!$C$2:$C$301,0)),""))</f>
        <v/>
      </c>
      <c r="Q389" s="7" t="str">
        <f>IFERROR(INDEX(Diccionarios!$B$2:$B$201,MATCH($A389,Diccionarios!$D$2:$D$201,0))&amp;"","")</f>
        <v/>
      </c>
      <c r="R389" s="7" t="str">
        <f>IFERROR(INDEX(Diccionarios!$C$2:$C$201,MATCH($A389,Diccionarios!$D$2:$D$201,0))&amp;"","")</f>
        <v/>
      </c>
      <c r="S389" s="7" t="str">
        <f>IFERROR(INDEX(Modelos!$K$2:$K$301,MATCH($B389,Modelos!$C$2:$C$301,0))&amp;"","")</f>
        <v/>
      </c>
      <c r="T389" s="7" t="str">
        <f>IFERROR(INDEX(Modelos!$L$2:$L$301,MATCH($B389,Modelos!$C$2:$C$301,0))&amp;"","")</f>
        <v/>
      </c>
    </row>
    <row r="390" spans="1:20" x14ac:dyDescent="0.25">
      <c r="A390" s="5"/>
      <c r="B390" s="5"/>
      <c r="C390" s="5"/>
      <c r="D390" s="6"/>
      <c r="E390" s="5"/>
      <c r="F390" s="7" t="str">
        <f>IF(AND(A390&lt;&gt;"",B390&lt;&gt;"",C390&lt;&gt;"",D390&lt;&gt;""),LEFT(A390,2)&amp;LEFT(B390,4)&amp;LEFT(C390,2)&amp;SUBSTITUTE(UPPER(D390),"Ú","U"),"")</f>
        <v/>
      </c>
      <c r="G390" s="7" t="str">
        <f>IFERROR(INDEX(Modelos!$B$2:$B$301,MATCH($B390,Modelos!$C$2:$C$301,0))&amp;"","")</f>
        <v/>
      </c>
      <c r="H390" s="7" t="str">
        <f>IFERROR(INDEX(Modelos!$D$2:$D$301,MATCH($B390,Modelos!$C$2:$C$301,0))&amp;"","")</f>
        <v/>
      </c>
      <c r="I390" s="7" t="str">
        <f>IFERROR(INDEX(Modelos!$E$2:$E$301,MATCH($B390,Modelos!$C$2:$C$301,0))&amp;"","")</f>
        <v/>
      </c>
      <c r="J390" s="7" t="str">
        <f>IFERROR(INDEX(Modelos!$F$2:$F$301,MATCH($B390,Modelos!$C$2:$C$301,0))&amp;"","")</f>
        <v/>
      </c>
      <c r="K390" s="7" t="str">
        <f>IFERROR(INDEX(Modelos!$G$2:$G$301,MATCH($B390,Modelos!$C$2:$C$301,0))&amp;"","")</f>
        <v/>
      </c>
      <c r="L390" s="7" t="str">
        <f>IFERROR(INDEX(Diccionarios!$G$2:$G$201,MATCH($C390,Diccionarios!$H$2:$H$201,0))&amp;"","")</f>
        <v/>
      </c>
      <c r="M390" s="7" t="str">
        <f>IF(D390="","",D390&amp;"")</f>
        <v/>
      </c>
      <c r="N390" s="8" t="str">
        <f>IF($B390="","",IFERROR(INDEX(Modelos!$H$2:$H$301,MATCH($B390,Modelos!$C$2:$C$301,0)),""))</f>
        <v/>
      </c>
      <c r="O390" s="8" t="str">
        <f>IF($B390="","",IFERROR(INDEX(Modelos!$I$2:$I$301,MATCH($B390,Modelos!$C$2:$C$301,0)),""))</f>
        <v/>
      </c>
      <c r="P390" s="8" t="str">
        <f>IF($B390="","",IFERROR(INDEX(Modelos!$J$2:$J$301,MATCH($B390,Modelos!$C$2:$C$301,0)),""))</f>
        <v/>
      </c>
      <c r="Q390" s="7" t="str">
        <f>IFERROR(INDEX(Diccionarios!$B$2:$B$201,MATCH($A390,Diccionarios!$D$2:$D$201,0))&amp;"","")</f>
        <v/>
      </c>
      <c r="R390" s="7" t="str">
        <f>IFERROR(INDEX(Diccionarios!$C$2:$C$201,MATCH($A390,Diccionarios!$D$2:$D$201,0))&amp;"","")</f>
        <v/>
      </c>
      <c r="S390" s="7" t="str">
        <f>IFERROR(INDEX(Modelos!$K$2:$K$301,MATCH($B390,Modelos!$C$2:$C$301,0))&amp;"","")</f>
        <v/>
      </c>
      <c r="T390" s="7" t="str">
        <f>IFERROR(INDEX(Modelos!$L$2:$L$301,MATCH($B390,Modelos!$C$2:$C$301,0))&amp;"","")</f>
        <v/>
      </c>
    </row>
    <row r="391" spans="1:20" x14ac:dyDescent="0.25">
      <c r="A391" s="5"/>
      <c r="B391" s="5"/>
      <c r="C391" s="5"/>
      <c r="D391" s="6"/>
      <c r="E391" s="5"/>
      <c r="F391" s="7" t="str">
        <f>IF(AND(A391&lt;&gt;"",B391&lt;&gt;"",C391&lt;&gt;"",D391&lt;&gt;""),LEFT(A391,2)&amp;LEFT(B391,4)&amp;LEFT(C391,2)&amp;SUBSTITUTE(UPPER(D391),"Ú","U"),"")</f>
        <v/>
      </c>
      <c r="G391" s="7" t="str">
        <f>IFERROR(INDEX(Modelos!$B$2:$B$301,MATCH($B391,Modelos!$C$2:$C$301,0))&amp;"","")</f>
        <v/>
      </c>
      <c r="H391" s="7" t="str">
        <f>IFERROR(INDEX(Modelos!$D$2:$D$301,MATCH($B391,Modelos!$C$2:$C$301,0))&amp;"","")</f>
        <v/>
      </c>
      <c r="I391" s="7" t="str">
        <f>IFERROR(INDEX(Modelos!$E$2:$E$301,MATCH($B391,Modelos!$C$2:$C$301,0))&amp;"","")</f>
        <v/>
      </c>
      <c r="J391" s="7" t="str">
        <f>IFERROR(INDEX(Modelos!$F$2:$F$301,MATCH($B391,Modelos!$C$2:$C$301,0))&amp;"","")</f>
        <v/>
      </c>
      <c r="K391" s="7" t="str">
        <f>IFERROR(INDEX(Modelos!$G$2:$G$301,MATCH($B391,Modelos!$C$2:$C$301,0))&amp;"","")</f>
        <v/>
      </c>
      <c r="L391" s="7" t="str">
        <f>IFERROR(INDEX(Diccionarios!$G$2:$G$201,MATCH($C391,Diccionarios!$H$2:$H$201,0))&amp;"","")</f>
        <v/>
      </c>
      <c r="M391" s="7" t="str">
        <f>IF(D391="","",D391&amp;"")</f>
        <v/>
      </c>
      <c r="N391" s="8" t="str">
        <f>IF($B391="","",IFERROR(INDEX(Modelos!$H$2:$H$301,MATCH($B391,Modelos!$C$2:$C$301,0)),""))</f>
        <v/>
      </c>
      <c r="O391" s="8" t="str">
        <f>IF($B391="","",IFERROR(INDEX(Modelos!$I$2:$I$301,MATCH($B391,Modelos!$C$2:$C$301,0)),""))</f>
        <v/>
      </c>
      <c r="P391" s="8" t="str">
        <f>IF($B391="","",IFERROR(INDEX(Modelos!$J$2:$J$301,MATCH($B391,Modelos!$C$2:$C$301,0)),""))</f>
        <v/>
      </c>
      <c r="Q391" s="7" t="str">
        <f>IFERROR(INDEX(Diccionarios!$B$2:$B$201,MATCH($A391,Diccionarios!$D$2:$D$201,0))&amp;"","")</f>
        <v/>
      </c>
      <c r="R391" s="7" t="str">
        <f>IFERROR(INDEX(Diccionarios!$C$2:$C$201,MATCH($A391,Diccionarios!$D$2:$D$201,0))&amp;"","")</f>
        <v/>
      </c>
      <c r="S391" s="7" t="str">
        <f>IFERROR(INDEX(Modelos!$K$2:$K$301,MATCH($B391,Modelos!$C$2:$C$301,0))&amp;"","")</f>
        <v/>
      </c>
      <c r="T391" s="7" t="str">
        <f>IFERROR(INDEX(Modelos!$L$2:$L$301,MATCH($B391,Modelos!$C$2:$C$301,0))&amp;"","")</f>
        <v/>
      </c>
    </row>
    <row r="392" spans="1:20" x14ac:dyDescent="0.25">
      <c r="A392" s="5"/>
      <c r="B392" s="5"/>
      <c r="C392" s="5"/>
      <c r="D392" s="6"/>
      <c r="E392" s="5"/>
      <c r="F392" s="7" t="str">
        <f>IF(AND(A392&lt;&gt;"",B392&lt;&gt;"",C392&lt;&gt;"",D392&lt;&gt;""),LEFT(A392,2)&amp;LEFT(B392,4)&amp;LEFT(C392,2)&amp;SUBSTITUTE(UPPER(D392),"Ú","U"),"")</f>
        <v/>
      </c>
      <c r="G392" s="7" t="str">
        <f>IFERROR(INDEX(Modelos!$B$2:$B$301,MATCH($B392,Modelos!$C$2:$C$301,0))&amp;"","")</f>
        <v/>
      </c>
      <c r="H392" s="7" t="str">
        <f>IFERROR(INDEX(Modelos!$D$2:$D$301,MATCH($B392,Modelos!$C$2:$C$301,0))&amp;"","")</f>
        <v/>
      </c>
      <c r="I392" s="7" t="str">
        <f>IFERROR(INDEX(Modelos!$E$2:$E$301,MATCH($B392,Modelos!$C$2:$C$301,0))&amp;"","")</f>
        <v/>
      </c>
      <c r="J392" s="7" t="str">
        <f>IFERROR(INDEX(Modelos!$F$2:$F$301,MATCH($B392,Modelos!$C$2:$C$301,0))&amp;"","")</f>
        <v/>
      </c>
      <c r="K392" s="7" t="str">
        <f>IFERROR(INDEX(Modelos!$G$2:$G$301,MATCH($B392,Modelos!$C$2:$C$301,0))&amp;"","")</f>
        <v/>
      </c>
      <c r="L392" s="7" t="str">
        <f>IFERROR(INDEX(Diccionarios!$G$2:$G$201,MATCH($C392,Diccionarios!$H$2:$H$201,0))&amp;"","")</f>
        <v/>
      </c>
      <c r="M392" s="7" t="str">
        <f>IF(D392="","",D392&amp;"")</f>
        <v/>
      </c>
      <c r="N392" s="8" t="str">
        <f>IF($B392="","",IFERROR(INDEX(Modelos!$H$2:$H$301,MATCH($B392,Modelos!$C$2:$C$301,0)),""))</f>
        <v/>
      </c>
      <c r="O392" s="8" t="str">
        <f>IF($B392="","",IFERROR(INDEX(Modelos!$I$2:$I$301,MATCH($B392,Modelos!$C$2:$C$301,0)),""))</f>
        <v/>
      </c>
      <c r="P392" s="8" t="str">
        <f>IF($B392="","",IFERROR(INDEX(Modelos!$J$2:$J$301,MATCH($B392,Modelos!$C$2:$C$301,0)),""))</f>
        <v/>
      </c>
      <c r="Q392" s="7" t="str">
        <f>IFERROR(INDEX(Diccionarios!$B$2:$B$201,MATCH($A392,Diccionarios!$D$2:$D$201,0))&amp;"","")</f>
        <v/>
      </c>
      <c r="R392" s="7" t="str">
        <f>IFERROR(INDEX(Diccionarios!$C$2:$C$201,MATCH($A392,Diccionarios!$D$2:$D$201,0))&amp;"","")</f>
        <v/>
      </c>
      <c r="S392" s="7" t="str">
        <f>IFERROR(INDEX(Modelos!$K$2:$K$301,MATCH($B392,Modelos!$C$2:$C$301,0))&amp;"","")</f>
        <v/>
      </c>
      <c r="T392" s="7" t="str">
        <f>IFERROR(INDEX(Modelos!$L$2:$L$301,MATCH($B392,Modelos!$C$2:$C$301,0))&amp;"","")</f>
        <v/>
      </c>
    </row>
    <row r="393" spans="1:20" x14ac:dyDescent="0.25">
      <c r="A393" s="5"/>
      <c r="B393" s="5"/>
      <c r="C393" s="5"/>
      <c r="D393" s="6"/>
      <c r="E393" s="5"/>
      <c r="F393" s="7" t="str">
        <f>IF(AND(A393&lt;&gt;"",B393&lt;&gt;"",C393&lt;&gt;"",D393&lt;&gt;""),LEFT(A393,2)&amp;LEFT(B393,4)&amp;LEFT(C393,2)&amp;SUBSTITUTE(UPPER(D393),"Ú","U"),"")</f>
        <v/>
      </c>
      <c r="G393" s="7" t="str">
        <f>IFERROR(INDEX(Modelos!$B$2:$B$301,MATCH($B393,Modelos!$C$2:$C$301,0))&amp;"","")</f>
        <v/>
      </c>
      <c r="H393" s="7" t="str">
        <f>IFERROR(INDEX(Modelos!$D$2:$D$301,MATCH($B393,Modelos!$C$2:$C$301,0))&amp;"","")</f>
        <v/>
      </c>
      <c r="I393" s="7" t="str">
        <f>IFERROR(INDEX(Modelos!$E$2:$E$301,MATCH($B393,Modelos!$C$2:$C$301,0))&amp;"","")</f>
        <v/>
      </c>
      <c r="J393" s="7" t="str">
        <f>IFERROR(INDEX(Modelos!$F$2:$F$301,MATCH($B393,Modelos!$C$2:$C$301,0))&amp;"","")</f>
        <v/>
      </c>
      <c r="K393" s="7" t="str">
        <f>IFERROR(INDEX(Modelos!$G$2:$G$301,MATCH($B393,Modelos!$C$2:$C$301,0))&amp;"","")</f>
        <v/>
      </c>
      <c r="L393" s="7" t="str">
        <f>IFERROR(INDEX(Diccionarios!$G$2:$G$201,MATCH($C393,Diccionarios!$H$2:$H$201,0))&amp;"","")</f>
        <v/>
      </c>
      <c r="M393" s="7" t="str">
        <f>IF(D393="","",D393&amp;"")</f>
        <v/>
      </c>
      <c r="N393" s="8" t="str">
        <f>IF($B393="","",IFERROR(INDEX(Modelos!$H$2:$H$301,MATCH($B393,Modelos!$C$2:$C$301,0)),""))</f>
        <v/>
      </c>
      <c r="O393" s="8" t="str">
        <f>IF($B393="","",IFERROR(INDEX(Modelos!$I$2:$I$301,MATCH($B393,Modelos!$C$2:$C$301,0)),""))</f>
        <v/>
      </c>
      <c r="P393" s="8" t="str">
        <f>IF($B393="","",IFERROR(INDEX(Modelos!$J$2:$J$301,MATCH($B393,Modelos!$C$2:$C$301,0)),""))</f>
        <v/>
      </c>
      <c r="Q393" s="7" t="str">
        <f>IFERROR(INDEX(Diccionarios!$B$2:$B$201,MATCH($A393,Diccionarios!$D$2:$D$201,0))&amp;"","")</f>
        <v/>
      </c>
      <c r="R393" s="7" t="str">
        <f>IFERROR(INDEX(Diccionarios!$C$2:$C$201,MATCH($A393,Diccionarios!$D$2:$D$201,0))&amp;"","")</f>
        <v/>
      </c>
      <c r="S393" s="7" t="str">
        <f>IFERROR(INDEX(Modelos!$K$2:$K$301,MATCH($B393,Modelos!$C$2:$C$301,0))&amp;"","")</f>
        <v/>
      </c>
      <c r="T393" s="7" t="str">
        <f>IFERROR(INDEX(Modelos!$L$2:$L$301,MATCH($B393,Modelos!$C$2:$C$301,0))&amp;"","")</f>
        <v/>
      </c>
    </row>
    <row r="394" spans="1:20" x14ac:dyDescent="0.25">
      <c r="A394" s="5"/>
      <c r="B394" s="5"/>
      <c r="C394" s="5"/>
      <c r="D394" s="6"/>
      <c r="E394" s="5"/>
      <c r="F394" s="7" t="str">
        <f>IF(AND(A394&lt;&gt;"",B394&lt;&gt;"",C394&lt;&gt;"",D394&lt;&gt;""),LEFT(A394,2)&amp;LEFT(B394,4)&amp;LEFT(C394,2)&amp;SUBSTITUTE(UPPER(D394),"Ú","U"),"")</f>
        <v/>
      </c>
      <c r="G394" s="7" t="str">
        <f>IFERROR(INDEX(Modelos!$B$2:$B$301,MATCH($B394,Modelos!$C$2:$C$301,0))&amp;"","")</f>
        <v/>
      </c>
      <c r="H394" s="7" t="str">
        <f>IFERROR(INDEX(Modelos!$D$2:$D$301,MATCH($B394,Modelos!$C$2:$C$301,0))&amp;"","")</f>
        <v/>
      </c>
      <c r="I394" s="7" t="str">
        <f>IFERROR(INDEX(Modelos!$E$2:$E$301,MATCH($B394,Modelos!$C$2:$C$301,0))&amp;"","")</f>
        <v/>
      </c>
      <c r="J394" s="7" t="str">
        <f>IFERROR(INDEX(Modelos!$F$2:$F$301,MATCH($B394,Modelos!$C$2:$C$301,0))&amp;"","")</f>
        <v/>
      </c>
      <c r="K394" s="7" t="str">
        <f>IFERROR(INDEX(Modelos!$G$2:$G$301,MATCH($B394,Modelos!$C$2:$C$301,0))&amp;"","")</f>
        <v/>
      </c>
      <c r="L394" s="7" t="str">
        <f>IFERROR(INDEX(Diccionarios!$G$2:$G$201,MATCH($C394,Diccionarios!$H$2:$H$201,0))&amp;"","")</f>
        <v/>
      </c>
      <c r="M394" s="7" t="str">
        <f>IF(D394="","",D394&amp;"")</f>
        <v/>
      </c>
      <c r="N394" s="8" t="str">
        <f>IF($B394="","",IFERROR(INDEX(Modelos!$H$2:$H$301,MATCH($B394,Modelos!$C$2:$C$301,0)),""))</f>
        <v/>
      </c>
      <c r="O394" s="8" t="str">
        <f>IF($B394="","",IFERROR(INDEX(Modelos!$I$2:$I$301,MATCH($B394,Modelos!$C$2:$C$301,0)),""))</f>
        <v/>
      </c>
      <c r="P394" s="8" t="str">
        <f>IF($B394="","",IFERROR(INDEX(Modelos!$J$2:$J$301,MATCH($B394,Modelos!$C$2:$C$301,0)),""))</f>
        <v/>
      </c>
      <c r="Q394" s="7" t="str">
        <f>IFERROR(INDEX(Diccionarios!$B$2:$B$201,MATCH($A394,Diccionarios!$D$2:$D$201,0))&amp;"","")</f>
        <v/>
      </c>
      <c r="R394" s="7" t="str">
        <f>IFERROR(INDEX(Diccionarios!$C$2:$C$201,MATCH($A394,Diccionarios!$D$2:$D$201,0))&amp;"","")</f>
        <v/>
      </c>
      <c r="S394" s="7" t="str">
        <f>IFERROR(INDEX(Modelos!$K$2:$K$301,MATCH($B394,Modelos!$C$2:$C$301,0))&amp;"","")</f>
        <v/>
      </c>
      <c r="T394" s="7" t="str">
        <f>IFERROR(INDEX(Modelos!$L$2:$L$301,MATCH($B394,Modelos!$C$2:$C$301,0))&amp;"","")</f>
        <v/>
      </c>
    </row>
    <row r="395" spans="1:20" x14ac:dyDescent="0.25">
      <c r="A395" s="5"/>
      <c r="B395" s="5"/>
      <c r="C395" s="5"/>
      <c r="D395" s="6"/>
      <c r="E395" s="5"/>
      <c r="F395" s="7" t="str">
        <f>IF(AND(A395&lt;&gt;"",B395&lt;&gt;"",C395&lt;&gt;"",D395&lt;&gt;""),LEFT(A395,2)&amp;LEFT(B395,4)&amp;LEFT(C395,2)&amp;SUBSTITUTE(UPPER(D395),"Ú","U"),"")</f>
        <v/>
      </c>
      <c r="G395" s="7" t="str">
        <f>IFERROR(INDEX(Modelos!$B$2:$B$301,MATCH($B395,Modelos!$C$2:$C$301,0))&amp;"","")</f>
        <v/>
      </c>
      <c r="H395" s="7" t="str">
        <f>IFERROR(INDEX(Modelos!$D$2:$D$301,MATCH($B395,Modelos!$C$2:$C$301,0))&amp;"","")</f>
        <v/>
      </c>
      <c r="I395" s="7" t="str">
        <f>IFERROR(INDEX(Modelos!$E$2:$E$301,MATCH($B395,Modelos!$C$2:$C$301,0))&amp;"","")</f>
        <v/>
      </c>
      <c r="J395" s="7" t="str">
        <f>IFERROR(INDEX(Modelos!$F$2:$F$301,MATCH($B395,Modelos!$C$2:$C$301,0))&amp;"","")</f>
        <v/>
      </c>
      <c r="K395" s="7" t="str">
        <f>IFERROR(INDEX(Modelos!$G$2:$G$301,MATCH($B395,Modelos!$C$2:$C$301,0))&amp;"","")</f>
        <v/>
      </c>
      <c r="L395" s="7" t="str">
        <f>IFERROR(INDEX(Diccionarios!$G$2:$G$201,MATCH($C395,Diccionarios!$H$2:$H$201,0))&amp;"","")</f>
        <v/>
      </c>
      <c r="M395" s="7" t="str">
        <f>IF(D395="","",D395&amp;"")</f>
        <v/>
      </c>
      <c r="N395" s="8" t="str">
        <f>IF($B395="","",IFERROR(INDEX(Modelos!$H$2:$H$301,MATCH($B395,Modelos!$C$2:$C$301,0)),""))</f>
        <v/>
      </c>
      <c r="O395" s="8" t="str">
        <f>IF($B395="","",IFERROR(INDEX(Modelos!$I$2:$I$301,MATCH($B395,Modelos!$C$2:$C$301,0)),""))</f>
        <v/>
      </c>
      <c r="P395" s="8" t="str">
        <f>IF($B395="","",IFERROR(INDEX(Modelos!$J$2:$J$301,MATCH($B395,Modelos!$C$2:$C$301,0)),""))</f>
        <v/>
      </c>
      <c r="Q395" s="7" t="str">
        <f>IFERROR(INDEX(Diccionarios!$B$2:$B$201,MATCH($A395,Diccionarios!$D$2:$D$201,0))&amp;"","")</f>
        <v/>
      </c>
      <c r="R395" s="7" t="str">
        <f>IFERROR(INDEX(Diccionarios!$C$2:$C$201,MATCH($A395,Diccionarios!$D$2:$D$201,0))&amp;"","")</f>
        <v/>
      </c>
      <c r="S395" s="7" t="str">
        <f>IFERROR(INDEX(Modelos!$K$2:$K$301,MATCH($B395,Modelos!$C$2:$C$301,0))&amp;"","")</f>
        <v/>
      </c>
      <c r="T395" s="7" t="str">
        <f>IFERROR(INDEX(Modelos!$L$2:$L$301,MATCH($B395,Modelos!$C$2:$C$301,0))&amp;"","")</f>
        <v/>
      </c>
    </row>
    <row r="396" spans="1:20" x14ac:dyDescent="0.25">
      <c r="A396" s="5"/>
      <c r="B396" s="5"/>
      <c r="C396" s="5"/>
      <c r="D396" s="6"/>
      <c r="E396" s="5"/>
      <c r="F396" s="7" t="str">
        <f>IF(AND(A396&lt;&gt;"",B396&lt;&gt;"",C396&lt;&gt;"",D396&lt;&gt;""),LEFT(A396,2)&amp;LEFT(B396,4)&amp;LEFT(C396,2)&amp;SUBSTITUTE(UPPER(D396),"Ú","U"),"")</f>
        <v/>
      </c>
      <c r="G396" s="7" t="str">
        <f>IFERROR(INDEX(Modelos!$B$2:$B$301,MATCH($B396,Modelos!$C$2:$C$301,0))&amp;"","")</f>
        <v/>
      </c>
      <c r="H396" s="7" t="str">
        <f>IFERROR(INDEX(Modelos!$D$2:$D$301,MATCH($B396,Modelos!$C$2:$C$301,0))&amp;"","")</f>
        <v/>
      </c>
      <c r="I396" s="7" t="str">
        <f>IFERROR(INDEX(Modelos!$E$2:$E$301,MATCH($B396,Modelos!$C$2:$C$301,0))&amp;"","")</f>
        <v/>
      </c>
      <c r="J396" s="7" t="str">
        <f>IFERROR(INDEX(Modelos!$F$2:$F$301,MATCH($B396,Modelos!$C$2:$C$301,0))&amp;"","")</f>
        <v/>
      </c>
      <c r="K396" s="7" t="str">
        <f>IFERROR(INDEX(Modelos!$G$2:$G$301,MATCH($B396,Modelos!$C$2:$C$301,0))&amp;"","")</f>
        <v/>
      </c>
      <c r="L396" s="7" t="str">
        <f>IFERROR(INDEX(Diccionarios!$G$2:$G$201,MATCH($C396,Diccionarios!$H$2:$H$201,0))&amp;"","")</f>
        <v/>
      </c>
      <c r="M396" s="7" t="str">
        <f>IF(D396="","",D396&amp;"")</f>
        <v/>
      </c>
      <c r="N396" s="8" t="str">
        <f>IF($B396="","",IFERROR(INDEX(Modelos!$H$2:$H$301,MATCH($B396,Modelos!$C$2:$C$301,0)),""))</f>
        <v/>
      </c>
      <c r="O396" s="8" t="str">
        <f>IF($B396="","",IFERROR(INDEX(Modelos!$I$2:$I$301,MATCH($B396,Modelos!$C$2:$C$301,0)),""))</f>
        <v/>
      </c>
      <c r="P396" s="8" t="str">
        <f>IF($B396="","",IFERROR(INDEX(Modelos!$J$2:$J$301,MATCH($B396,Modelos!$C$2:$C$301,0)),""))</f>
        <v/>
      </c>
      <c r="Q396" s="7" t="str">
        <f>IFERROR(INDEX(Diccionarios!$B$2:$B$201,MATCH($A396,Diccionarios!$D$2:$D$201,0))&amp;"","")</f>
        <v/>
      </c>
      <c r="R396" s="7" t="str">
        <f>IFERROR(INDEX(Diccionarios!$C$2:$C$201,MATCH($A396,Diccionarios!$D$2:$D$201,0))&amp;"","")</f>
        <v/>
      </c>
      <c r="S396" s="7" t="str">
        <f>IFERROR(INDEX(Modelos!$K$2:$K$301,MATCH($B396,Modelos!$C$2:$C$301,0))&amp;"","")</f>
        <v/>
      </c>
      <c r="T396" s="7" t="str">
        <f>IFERROR(INDEX(Modelos!$L$2:$L$301,MATCH($B396,Modelos!$C$2:$C$301,0))&amp;"","")</f>
        <v/>
      </c>
    </row>
    <row r="397" spans="1:20" x14ac:dyDescent="0.25">
      <c r="A397" s="5"/>
      <c r="B397" s="5"/>
      <c r="C397" s="5"/>
      <c r="D397" s="6"/>
      <c r="E397" s="5"/>
      <c r="F397" s="7" t="str">
        <f>IF(AND(A397&lt;&gt;"",B397&lt;&gt;"",C397&lt;&gt;"",D397&lt;&gt;""),LEFT(A397,2)&amp;LEFT(B397,4)&amp;LEFT(C397,2)&amp;SUBSTITUTE(UPPER(D397),"Ú","U"),"")</f>
        <v/>
      </c>
      <c r="G397" s="7" t="str">
        <f>IFERROR(INDEX(Modelos!$B$2:$B$301,MATCH($B397,Modelos!$C$2:$C$301,0))&amp;"","")</f>
        <v/>
      </c>
      <c r="H397" s="7" t="str">
        <f>IFERROR(INDEX(Modelos!$D$2:$D$301,MATCH($B397,Modelos!$C$2:$C$301,0))&amp;"","")</f>
        <v/>
      </c>
      <c r="I397" s="7" t="str">
        <f>IFERROR(INDEX(Modelos!$E$2:$E$301,MATCH($B397,Modelos!$C$2:$C$301,0))&amp;"","")</f>
        <v/>
      </c>
      <c r="J397" s="7" t="str">
        <f>IFERROR(INDEX(Modelos!$F$2:$F$301,MATCH($B397,Modelos!$C$2:$C$301,0))&amp;"","")</f>
        <v/>
      </c>
      <c r="K397" s="7" t="str">
        <f>IFERROR(INDEX(Modelos!$G$2:$G$301,MATCH($B397,Modelos!$C$2:$C$301,0))&amp;"","")</f>
        <v/>
      </c>
      <c r="L397" s="7" t="str">
        <f>IFERROR(INDEX(Diccionarios!$G$2:$G$201,MATCH($C397,Diccionarios!$H$2:$H$201,0))&amp;"","")</f>
        <v/>
      </c>
      <c r="M397" s="7" t="str">
        <f>IF(D397="","",D397&amp;"")</f>
        <v/>
      </c>
      <c r="N397" s="8" t="str">
        <f>IF($B397="","",IFERROR(INDEX(Modelos!$H$2:$H$301,MATCH($B397,Modelos!$C$2:$C$301,0)),""))</f>
        <v/>
      </c>
      <c r="O397" s="8" t="str">
        <f>IF($B397="","",IFERROR(INDEX(Modelos!$I$2:$I$301,MATCH($B397,Modelos!$C$2:$C$301,0)),""))</f>
        <v/>
      </c>
      <c r="P397" s="8" t="str">
        <f>IF($B397="","",IFERROR(INDEX(Modelos!$J$2:$J$301,MATCH($B397,Modelos!$C$2:$C$301,0)),""))</f>
        <v/>
      </c>
      <c r="Q397" s="7" t="str">
        <f>IFERROR(INDEX(Diccionarios!$B$2:$B$201,MATCH($A397,Diccionarios!$D$2:$D$201,0))&amp;"","")</f>
        <v/>
      </c>
      <c r="R397" s="7" t="str">
        <f>IFERROR(INDEX(Diccionarios!$C$2:$C$201,MATCH($A397,Diccionarios!$D$2:$D$201,0))&amp;"","")</f>
        <v/>
      </c>
      <c r="S397" s="7" t="str">
        <f>IFERROR(INDEX(Modelos!$K$2:$K$301,MATCH($B397,Modelos!$C$2:$C$301,0))&amp;"","")</f>
        <v/>
      </c>
      <c r="T397" s="7" t="str">
        <f>IFERROR(INDEX(Modelos!$L$2:$L$301,MATCH($B397,Modelos!$C$2:$C$301,0))&amp;"","")</f>
        <v/>
      </c>
    </row>
    <row r="398" spans="1:20" x14ac:dyDescent="0.25">
      <c r="A398" s="5"/>
      <c r="B398" s="5"/>
      <c r="C398" s="5"/>
      <c r="D398" s="6"/>
      <c r="E398" s="5"/>
      <c r="F398" s="7" t="str">
        <f>IF(AND(A398&lt;&gt;"",B398&lt;&gt;"",C398&lt;&gt;"",D398&lt;&gt;""),LEFT(A398,2)&amp;LEFT(B398,4)&amp;LEFT(C398,2)&amp;SUBSTITUTE(UPPER(D398),"Ú","U"),"")</f>
        <v/>
      </c>
      <c r="G398" s="7" t="str">
        <f>IFERROR(INDEX(Modelos!$B$2:$B$301,MATCH($B398,Modelos!$C$2:$C$301,0))&amp;"","")</f>
        <v/>
      </c>
      <c r="H398" s="7" t="str">
        <f>IFERROR(INDEX(Modelos!$D$2:$D$301,MATCH($B398,Modelos!$C$2:$C$301,0))&amp;"","")</f>
        <v/>
      </c>
      <c r="I398" s="7" t="str">
        <f>IFERROR(INDEX(Modelos!$E$2:$E$301,MATCH($B398,Modelos!$C$2:$C$301,0))&amp;"","")</f>
        <v/>
      </c>
      <c r="J398" s="7" t="str">
        <f>IFERROR(INDEX(Modelos!$F$2:$F$301,MATCH($B398,Modelos!$C$2:$C$301,0))&amp;"","")</f>
        <v/>
      </c>
      <c r="K398" s="7" t="str">
        <f>IFERROR(INDEX(Modelos!$G$2:$G$301,MATCH($B398,Modelos!$C$2:$C$301,0))&amp;"","")</f>
        <v/>
      </c>
      <c r="L398" s="7" t="str">
        <f>IFERROR(INDEX(Diccionarios!$G$2:$G$201,MATCH($C398,Diccionarios!$H$2:$H$201,0))&amp;"","")</f>
        <v/>
      </c>
      <c r="M398" s="7" t="str">
        <f>IF(D398="","",D398&amp;"")</f>
        <v/>
      </c>
      <c r="N398" s="8" t="str">
        <f>IF($B398="","",IFERROR(INDEX(Modelos!$H$2:$H$301,MATCH($B398,Modelos!$C$2:$C$301,0)),""))</f>
        <v/>
      </c>
      <c r="O398" s="8" t="str">
        <f>IF($B398="","",IFERROR(INDEX(Modelos!$I$2:$I$301,MATCH($B398,Modelos!$C$2:$C$301,0)),""))</f>
        <v/>
      </c>
      <c r="P398" s="8" t="str">
        <f>IF($B398="","",IFERROR(INDEX(Modelos!$J$2:$J$301,MATCH($B398,Modelos!$C$2:$C$301,0)),""))</f>
        <v/>
      </c>
      <c r="Q398" s="7" t="str">
        <f>IFERROR(INDEX(Diccionarios!$B$2:$B$201,MATCH($A398,Diccionarios!$D$2:$D$201,0))&amp;"","")</f>
        <v/>
      </c>
      <c r="R398" s="7" t="str">
        <f>IFERROR(INDEX(Diccionarios!$C$2:$C$201,MATCH($A398,Diccionarios!$D$2:$D$201,0))&amp;"","")</f>
        <v/>
      </c>
      <c r="S398" s="7" t="str">
        <f>IFERROR(INDEX(Modelos!$K$2:$K$301,MATCH($B398,Modelos!$C$2:$C$301,0))&amp;"","")</f>
        <v/>
      </c>
      <c r="T398" s="7" t="str">
        <f>IFERROR(INDEX(Modelos!$L$2:$L$301,MATCH($B398,Modelos!$C$2:$C$301,0))&amp;"","")</f>
        <v/>
      </c>
    </row>
    <row r="399" spans="1:20" x14ac:dyDescent="0.25">
      <c r="A399" s="5"/>
      <c r="B399" s="5"/>
      <c r="C399" s="5"/>
      <c r="D399" s="6"/>
      <c r="E399" s="5"/>
      <c r="F399" s="7" t="str">
        <f>IF(AND(A399&lt;&gt;"",B399&lt;&gt;"",C399&lt;&gt;"",D399&lt;&gt;""),LEFT(A399,2)&amp;LEFT(B399,4)&amp;LEFT(C399,2)&amp;SUBSTITUTE(UPPER(D399),"Ú","U"),"")</f>
        <v/>
      </c>
      <c r="G399" s="7" t="str">
        <f>IFERROR(INDEX(Modelos!$B$2:$B$301,MATCH($B399,Modelos!$C$2:$C$301,0))&amp;"","")</f>
        <v/>
      </c>
      <c r="H399" s="7" t="str">
        <f>IFERROR(INDEX(Modelos!$D$2:$D$301,MATCH($B399,Modelos!$C$2:$C$301,0))&amp;"","")</f>
        <v/>
      </c>
      <c r="I399" s="7" t="str">
        <f>IFERROR(INDEX(Modelos!$E$2:$E$301,MATCH($B399,Modelos!$C$2:$C$301,0))&amp;"","")</f>
        <v/>
      </c>
      <c r="J399" s="7" t="str">
        <f>IFERROR(INDEX(Modelos!$F$2:$F$301,MATCH($B399,Modelos!$C$2:$C$301,0))&amp;"","")</f>
        <v/>
      </c>
      <c r="K399" s="7" t="str">
        <f>IFERROR(INDEX(Modelos!$G$2:$G$301,MATCH($B399,Modelos!$C$2:$C$301,0))&amp;"","")</f>
        <v/>
      </c>
      <c r="L399" s="7" t="str">
        <f>IFERROR(INDEX(Diccionarios!$G$2:$G$201,MATCH($C399,Diccionarios!$H$2:$H$201,0))&amp;"","")</f>
        <v/>
      </c>
      <c r="M399" s="7" t="str">
        <f>IF(D399="","",D399&amp;"")</f>
        <v/>
      </c>
      <c r="N399" s="8" t="str">
        <f>IF($B399="","",IFERROR(INDEX(Modelos!$H$2:$H$301,MATCH($B399,Modelos!$C$2:$C$301,0)),""))</f>
        <v/>
      </c>
      <c r="O399" s="8" t="str">
        <f>IF($B399="","",IFERROR(INDEX(Modelos!$I$2:$I$301,MATCH($B399,Modelos!$C$2:$C$301,0)),""))</f>
        <v/>
      </c>
      <c r="P399" s="8" t="str">
        <f>IF($B399="","",IFERROR(INDEX(Modelos!$J$2:$J$301,MATCH($B399,Modelos!$C$2:$C$301,0)),""))</f>
        <v/>
      </c>
      <c r="Q399" s="7" t="str">
        <f>IFERROR(INDEX(Diccionarios!$B$2:$B$201,MATCH($A399,Diccionarios!$D$2:$D$201,0))&amp;"","")</f>
        <v/>
      </c>
      <c r="R399" s="7" t="str">
        <f>IFERROR(INDEX(Diccionarios!$C$2:$C$201,MATCH($A399,Diccionarios!$D$2:$D$201,0))&amp;"","")</f>
        <v/>
      </c>
      <c r="S399" s="7" t="str">
        <f>IFERROR(INDEX(Modelos!$K$2:$K$301,MATCH($B399,Modelos!$C$2:$C$301,0))&amp;"","")</f>
        <v/>
      </c>
      <c r="T399" s="7" t="str">
        <f>IFERROR(INDEX(Modelos!$L$2:$L$301,MATCH($B399,Modelos!$C$2:$C$301,0))&amp;"","")</f>
        <v/>
      </c>
    </row>
    <row r="400" spans="1:20" x14ac:dyDescent="0.25">
      <c r="A400" s="5"/>
      <c r="B400" s="5"/>
      <c r="C400" s="5"/>
      <c r="D400" s="6"/>
      <c r="E400" s="5"/>
      <c r="F400" s="7" t="str">
        <f>IF(AND(A400&lt;&gt;"",B400&lt;&gt;"",C400&lt;&gt;"",D400&lt;&gt;""),LEFT(A400,2)&amp;LEFT(B400,4)&amp;LEFT(C400,2)&amp;SUBSTITUTE(UPPER(D400),"Ú","U"),"")</f>
        <v/>
      </c>
      <c r="G400" s="7" t="str">
        <f>IFERROR(INDEX(Modelos!$B$2:$B$301,MATCH($B400,Modelos!$C$2:$C$301,0))&amp;"","")</f>
        <v/>
      </c>
      <c r="H400" s="7" t="str">
        <f>IFERROR(INDEX(Modelos!$D$2:$D$301,MATCH($B400,Modelos!$C$2:$C$301,0))&amp;"","")</f>
        <v/>
      </c>
      <c r="I400" s="7" t="str">
        <f>IFERROR(INDEX(Modelos!$E$2:$E$301,MATCH($B400,Modelos!$C$2:$C$301,0))&amp;"","")</f>
        <v/>
      </c>
      <c r="J400" s="7" t="str">
        <f>IFERROR(INDEX(Modelos!$F$2:$F$301,MATCH($B400,Modelos!$C$2:$C$301,0))&amp;"","")</f>
        <v/>
      </c>
      <c r="K400" s="7" t="str">
        <f>IFERROR(INDEX(Modelos!$G$2:$G$301,MATCH($B400,Modelos!$C$2:$C$301,0))&amp;"","")</f>
        <v/>
      </c>
      <c r="L400" s="7" t="str">
        <f>IFERROR(INDEX(Diccionarios!$G$2:$G$201,MATCH($C400,Diccionarios!$H$2:$H$201,0))&amp;"","")</f>
        <v/>
      </c>
      <c r="M400" s="7" t="str">
        <f>IF(D400="","",D400&amp;"")</f>
        <v/>
      </c>
      <c r="N400" s="8" t="str">
        <f>IF($B400="","",IFERROR(INDEX(Modelos!$H$2:$H$301,MATCH($B400,Modelos!$C$2:$C$301,0)),""))</f>
        <v/>
      </c>
      <c r="O400" s="8" t="str">
        <f>IF($B400="","",IFERROR(INDEX(Modelos!$I$2:$I$301,MATCH($B400,Modelos!$C$2:$C$301,0)),""))</f>
        <v/>
      </c>
      <c r="P400" s="8" t="str">
        <f>IF($B400="","",IFERROR(INDEX(Modelos!$J$2:$J$301,MATCH($B400,Modelos!$C$2:$C$301,0)),""))</f>
        <v/>
      </c>
      <c r="Q400" s="7" t="str">
        <f>IFERROR(INDEX(Diccionarios!$B$2:$B$201,MATCH($A400,Diccionarios!$D$2:$D$201,0))&amp;"","")</f>
        <v/>
      </c>
      <c r="R400" s="7" t="str">
        <f>IFERROR(INDEX(Diccionarios!$C$2:$C$201,MATCH($A400,Diccionarios!$D$2:$D$201,0))&amp;"","")</f>
        <v/>
      </c>
      <c r="S400" s="7" t="str">
        <f>IFERROR(INDEX(Modelos!$K$2:$K$301,MATCH($B400,Modelos!$C$2:$C$301,0))&amp;"","")</f>
        <v/>
      </c>
      <c r="T400" s="7" t="str">
        <f>IFERROR(INDEX(Modelos!$L$2:$L$301,MATCH($B400,Modelos!$C$2:$C$301,0))&amp;"","")</f>
        <v/>
      </c>
    </row>
    <row r="401" spans="1:20" x14ac:dyDescent="0.25">
      <c r="A401" s="5"/>
      <c r="B401" s="5"/>
      <c r="C401" s="5"/>
      <c r="D401" s="6"/>
      <c r="E401" s="5"/>
      <c r="F401" s="7" t="str">
        <f>IF(AND(A401&lt;&gt;"",B401&lt;&gt;"",C401&lt;&gt;"",D401&lt;&gt;""),LEFT(A401,2)&amp;LEFT(B401,4)&amp;LEFT(C401,2)&amp;SUBSTITUTE(UPPER(D401),"Ú","U"),"")</f>
        <v/>
      </c>
      <c r="G401" s="7" t="str">
        <f>IFERROR(INDEX(Modelos!$B$2:$B$301,MATCH($B401,Modelos!$C$2:$C$301,0))&amp;"","")</f>
        <v/>
      </c>
      <c r="H401" s="7" t="str">
        <f>IFERROR(INDEX(Modelos!$D$2:$D$301,MATCH($B401,Modelos!$C$2:$C$301,0))&amp;"","")</f>
        <v/>
      </c>
      <c r="I401" s="7" t="str">
        <f>IFERROR(INDEX(Modelos!$E$2:$E$301,MATCH($B401,Modelos!$C$2:$C$301,0))&amp;"","")</f>
        <v/>
      </c>
      <c r="J401" s="7" t="str">
        <f>IFERROR(INDEX(Modelos!$F$2:$F$301,MATCH($B401,Modelos!$C$2:$C$301,0))&amp;"","")</f>
        <v/>
      </c>
      <c r="K401" s="7" t="str">
        <f>IFERROR(INDEX(Modelos!$G$2:$G$301,MATCH($B401,Modelos!$C$2:$C$301,0))&amp;"","")</f>
        <v/>
      </c>
      <c r="L401" s="7" t="str">
        <f>IFERROR(INDEX(Diccionarios!$G$2:$G$201,MATCH($C401,Diccionarios!$H$2:$H$201,0))&amp;"","")</f>
        <v/>
      </c>
      <c r="M401" s="7" t="str">
        <f>IF(D401="","",D401&amp;"")</f>
        <v/>
      </c>
      <c r="N401" s="8" t="str">
        <f>IF($B401="","",IFERROR(INDEX(Modelos!$H$2:$H$301,MATCH($B401,Modelos!$C$2:$C$301,0)),""))</f>
        <v/>
      </c>
      <c r="O401" s="8" t="str">
        <f>IF($B401="","",IFERROR(INDEX(Modelos!$I$2:$I$301,MATCH($B401,Modelos!$C$2:$C$301,0)),""))</f>
        <v/>
      </c>
      <c r="P401" s="8" t="str">
        <f>IF($B401="","",IFERROR(INDEX(Modelos!$J$2:$J$301,MATCH($B401,Modelos!$C$2:$C$301,0)),""))</f>
        <v/>
      </c>
      <c r="Q401" s="7" t="str">
        <f>IFERROR(INDEX(Diccionarios!$B$2:$B$201,MATCH($A401,Diccionarios!$D$2:$D$201,0))&amp;"","")</f>
        <v/>
      </c>
      <c r="R401" s="7" t="str">
        <f>IFERROR(INDEX(Diccionarios!$C$2:$C$201,MATCH($A401,Diccionarios!$D$2:$D$201,0))&amp;"","")</f>
        <v/>
      </c>
      <c r="S401" s="7" t="str">
        <f>IFERROR(INDEX(Modelos!$K$2:$K$301,MATCH($B401,Modelos!$C$2:$C$301,0))&amp;"","")</f>
        <v/>
      </c>
      <c r="T401" s="7" t="str">
        <f>IFERROR(INDEX(Modelos!$L$2:$L$301,MATCH($B401,Modelos!$C$2:$C$301,0))&amp;"","")</f>
        <v/>
      </c>
    </row>
    <row r="402" spans="1:20" x14ac:dyDescent="0.25">
      <c r="A402" s="5"/>
      <c r="B402" s="5"/>
      <c r="C402" s="5"/>
      <c r="D402" s="6"/>
      <c r="E402" s="5"/>
      <c r="F402" s="7" t="str">
        <f>IF(AND(A402&lt;&gt;"",B402&lt;&gt;"",C402&lt;&gt;"",D402&lt;&gt;""),LEFT(A402,2)&amp;LEFT(B402,4)&amp;LEFT(C402,2)&amp;SUBSTITUTE(UPPER(D402),"Ú","U"),"")</f>
        <v/>
      </c>
      <c r="G402" s="7" t="str">
        <f>IFERROR(INDEX(Modelos!$B$2:$B$301,MATCH($B402,Modelos!$C$2:$C$301,0))&amp;"","")</f>
        <v/>
      </c>
      <c r="H402" s="7" t="str">
        <f>IFERROR(INDEX(Modelos!$D$2:$D$301,MATCH($B402,Modelos!$C$2:$C$301,0))&amp;"","")</f>
        <v/>
      </c>
      <c r="I402" s="7" t="str">
        <f>IFERROR(INDEX(Modelos!$E$2:$E$301,MATCH($B402,Modelos!$C$2:$C$301,0))&amp;"","")</f>
        <v/>
      </c>
      <c r="J402" s="7" t="str">
        <f>IFERROR(INDEX(Modelos!$F$2:$F$301,MATCH($B402,Modelos!$C$2:$C$301,0))&amp;"","")</f>
        <v/>
      </c>
      <c r="K402" s="7" t="str">
        <f>IFERROR(INDEX(Modelos!$G$2:$G$301,MATCH($B402,Modelos!$C$2:$C$301,0))&amp;"","")</f>
        <v/>
      </c>
      <c r="L402" s="7" t="str">
        <f>IFERROR(INDEX(Diccionarios!$G$2:$G$201,MATCH($C402,Diccionarios!$H$2:$H$201,0))&amp;"","")</f>
        <v/>
      </c>
      <c r="M402" s="7" t="str">
        <f>IF(D402="","",D402&amp;"")</f>
        <v/>
      </c>
      <c r="N402" s="8" t="str">
        <f>IF($B402="","",IFERROR(INDEX(Modelos!$H$2:$H$301,MATCH($B402,Modelos!$C$2:$C$301,0)),""))</f>
        <v/>
      </c>
      <c r="O402" s="8" t="str">
        <f>IF($B402="","",IFERROR(INDEX(Modelos!$I$2:$I$301,MATCH($B402,Modelos!$C$2:$C$301,0)),""))</f>
        <v/>
      </c>
      <c r="P402" s="8" t="str">
        <f>IF($B402="","",IFERROR(INDEX(Modelos!$J$2:$J$301,MATCH($B402,Modelos!$C$2:$C$301,0)),""))</f>
        <v/>
      </c>
      <c r="Q402" s="7" t="str">
        <f>IFERROR(INDEX(Diccionarios!$B$2:$B$201,MATCH($A402,Diccionarios!$D$2:$D$201,0))&amp;"","")</f>
        <v/>
      </c>
      <c r="R402" s="7" t="str">
        <f>IFERROR(INDEX(Diccionarios!$C$2:$C$201,MATCH($A402,Diccionarios!$D$2:$D$201,0))&amp;"","")</f>
        <v/>
      </c>
      <c r="S402" s="7" t="str">
        <f>IFERROR(INDEX(Modelos!$K$2:$K$301,MATCH($B402,Modelos!$C$2:$C$301,0))&amp;"","")</f>
        <v/>
      </c>
      <c r="T402" s="7" t="str">
        <f>IFERROR(INDEX(Modelos!$L$2:$L$301,MATCH($B402,Modelos!$C$2:$C$301,0))&amp;"","")</f>
        <v/>
      </c>
    </row>
    <row r="403" spans="1:20" x14ac:dyDescent="0.25">
      <c r="A403" s="5"/>
      <c r="B403" s="5"/>
      <c r="C403" s="5"/>
      <c r="D403" s="6"/>
      <c r="E403" s="5"/>
      <c r="F403" s="7" t="str">
        <f>IF(AND(A403&lt;&gt;"",B403&lt;&gt;"",C403&lt;&gt;"",D403&lt;&gt;""),LEFT(A403,2)&amp;LEFT(B403,4)&amp;LEFT(C403,2)&amp;SUBSTITUTE(UPPER(D403),"Ú","U"),"")</f>
        <v/>
      </c>
      <c r="G403" s="7" t="str">
        <f>IFERROR(INDEX(Modelos!$B$2:$B$301,MATCH($B403,Modelos!$C$2:$C$301,0))&amp;"","")</f>
        <v/>
      </c>
      <c r="H403" s="7" t="str">
        <f>IFERROR(INDEX(Modelos!$D$2:$D$301,MATCH($B403,Modelos!$C$2:$C$301,0))&amp;"","")</f>
        <v/>
      </c>
      <c r="I403" s="7" t="str">
        <f>IFERROR(INDEX(Modelos!$E$2:$E$301,MATCH($B403,Modelos!$C$2:$C$301,0))&amp;"","")</f>
        <v/>
      </c>
      <c r="J403" s="7" t="str">
        <f>IFERROR(INDEX(Modelos!$F$2:$F$301,MATCH($B403,Modelos!$C$2:$C$301,0))&amp;"","")</f>
        <v/>
      </c>
      <c r="K403" s="7" t="str">
        <f>IFERROR(INDEX(Modelos!$G$2:$G$301,MATCH($B403,Modelos!$C$2:$C$301,0))&amp;"","")</f>
        <v/>
      </c>
      <c r="L403" s="7" t="str">
        <f>IFERROR(INDEX(Diccionarios!$G$2:$G$201,MATCH($C403,Diccionarios!$H$2:$H$201,0))&amp;"","")</f>
        <v/>
      </c>
      <c r="M403" s="7" t="str">
        <f>IF(D403="","",D403&amp;"")</f>
        <v/>
      </c>
      <c r="N403" s="8" t="str">
        <f>IF($B403="","",IFERROR(INDEX(Modelos!$H$2:$H$301,MATCH($B403,Modelos!$C$2:$C$301,0)),""))</f>
        <v/>
      </c>
      <c r="O403" s="8" t="str">
        <f>IF($B403="","",IFERROR(INDEX(Modelos!$I$2:$I$301,MATCH($B403,Modelos!$C$2:$C$301,0)),""))</f>
        <v/>
      </c>
      <c r="P403" s="8" t="str">
        <f>IF($B403="","",IFERROR(INDEX(Modelos!$J$2:$J$301,MATCH($B403,Modelos!$C$2:$C$301,0)),""))</f>
        <v/>
      </c>
      <c r="Q403" s="7" t="str">
        <f>IFERROR(INDEX(Diccionarios!$B$2:$B$201,MATCH($A403,Diccionarios!$D$2:$D$201,0))&amp;"","")</f>
        <v/>
      </c>
      <c r="R403" s="7" t="str">
        <f>IFERROR(INDEX(Diccionarios!$C$2:$C$201,MATCH($A403,Diccionarios!$D$2:$D$201,0))&amp;"","")</f>
        <v/>
      </c>
      <c r="S403" s="7" t="str">
        <f>IFERROR(INDEX(Modelos!$K$2:$K$301,MATCH($B403,Modelos!$C$2:$C$301,0))&amp;"","")</f>
        <v/>
      </c>
      <c r="T403" s="7" t="str">
        <f>IFERROR(INDEX(Modelos!$L$2:$L$301,MATCH($B403,Modelos!$C$2:$C$301,0))&amp;"","")</f>
        <v/>
      </c>
    </row>
    <row r="404" spans="1:20" x14ac:dyDescent="0.25">
      <c r="A404" s="5"/>
      <c r="B404" s="5"/>
      <c r="C404" s="5"/>
      <c r="D404" s="6"/>
      <c r="E404" s="5"/>
      <c r="F404" s="7" t="str">
        <f>IF(AND(A404&lt;&gt;"",B404&lt;&gt;"",C404&lt;&gt;"",D404&lt;&gt;""),LEFT(A404,2)&amp;LEFT(B404,4)&amp;LEFT(C404,2)&amp;SUBSTITUTE(UPPER(D404),"Ú","U"),"")</f>
        <v/>
      </c>
      <c r="G404" s="7" t="str">
        <f>IFERROR(INDEX(Modelos!$B$2:$B$301,MATCH($B404,Modelos!$C$2:$C$301,0))&amp;"","")</f>
        <v/>
      </c>
      <c r="H404" s="7" t="str">
        <f>IFERROR(INDEX(Modelos!$D$2:$D$301,MATCH($B404,Modelos!$C$2:$C$301,0))&amp;"","")</f>
        <v/>
      </c>
      <c r="I404" s="7" t="str">
        <f>IFERROR(INDEX(Modelos!$E$2:$E$301,MATCH($B404,Modelos!$C$2:$C$301,0))&amp;"","")</f>
        <v/>
      </c>
      <c r="J404" s="7" t="str">
        <f>IFERROR(INDEX(Modelos!$F$2:$F$301,MATCH($B404,Modelos!$C$2:$C$301,0))&amp;"","")</f>
        <v/>
      </c>
      <c r="K404" s="7" t="str">
        <f>IFERROR(INDEX(Modelos!$G$2:$G$301,MATCH($B404,Modelos!$C$2:$C$301,0))&amp;"","")</f>
        <v/>
      </c>
      <c r="L404" s="7" t="str">
        <f>IFERROR(INDEX(Diccionarios!$G$2:$G$201,MATCH($C404,Diccionarios!$H$2:$H$201,0))&amp;"","")</f>
        <v/>
      </c>
      <c r="M404" s="7" t="str">
        <f>IF(D404="","",D404&amp;"")</f>
        <v/>
      </c>
      <c r="N404" s="8" t="str">
        <f>IF($B404="","",IFERROR(INDEX(Modelos!$H$2:$H$301,MATCH($B404,Modelos!$C$2:$C$301,0)),""))</f>
        <v/>
      </c>
      <c r="O404" s="8" t="str">
        <f>IF($B404="","",IFERROR(INDEX(Modelos!$I$2:$I$301,MATCH($B404,Modelos!$C$2:$C$301,0)),""))</f>
        <v/>
      </c>
      <c r="P404" s="8" t="str">
        <f>IF($B404="","",IFERROR(INDEX(Modelos!$J$2:$J$301,MATCH($B404,Modelos!$C$2:$C$301,0)),""))</f>
        <v/>
      </c>
      <c r="Q404" s="7" t="str">
        <f>IFERROR(INDEX(Diccionarios!$B$2:$B$201,MATCH($A404,Diccionarios!$D$2:$D$201,0))&amp;"","")</f>
        <v/>
      </c>
      <c r="R404" s="7" t="str">
        <f>IFERROR(INDEX(Diccionarios!$C$2:$C$201,MATCH($A404,Diccionarios!$D$2:$D$201,0))&amp;"","")</f>
        <v/>
      </c>
      <c r="S404" s="7" t="str">
        <f>IFERROR(INDEX(Modelos!$K$2:$K$301,MATCH($B404,Modelos!$C$2:$C$301,0))&amp;"","")</f>
        <v/>
      </c>
      <c r="T404" s="7" t="str">
        <f>IFERROR(INDEX(Modelos!$L$2:$L$301,MATCH($B404,Modelos!$C$2:$C$301,0))&amp;"","")</f>
        <v/>
      </c>
    </row>
    <row r="405" spans="1:20" x14ac:dyDescent="0.25">
      <c r="A405" s="5"/>
      <c r="B405" s="5"/>
      <c r="C405" s="5"/>
      <c r="D405" s="6"/>
      <c r="E405" s="5"/>
      <c r="F405" s="7" t="str">
        <f>IF(AND(A405&lt;&gt;"",B405&lt;&gt;"",C405&lt;&gt;"",D405&lt;&gt;""),LEFT(A405,2)&amp;LEFT(B405,4)&amp;LEFT(C405,2)&amp;SUBSTITUTE(UPPER(D405),"Ú","U"),"")</f>
        <v/>
      </c>
      <c r="G405" s="7" t="str">
        <f>IFERROR(INDEX(Modelos!$B$2:$B$301,MATCH($B405,Modelos!$C$2:$C$301,0))&amp;"","")</f>
        <v/>
      </c>
      <c r="H405" s="7" t="str">
        <f>IFERROR(INDEX(Modelos!$D$2:$D$301,MATCH($B405,Modelos!$C$2:$C$301,0))&amp;"","")</f>
        <v/>
      </c>
      <c r="I405" s="7" t="str">
        <f>IFERROR(INDEX(Modelos!$E$2:$E$301,MATCH($B405,Modelos!$C$2:$C$301,0))&amp;"","")</f>
        <v/>
      </c>
      <c r="J405" s="7" t="str">
        <f>IFERROR(INDEX(Modelos!$F$2:$F$301,MATCH($B405,Modelos!$C$2:$C$301,0))&amp;"","")</f>
        <v/>
      </c>
      <c r="K405" s="7" t="str">
        <f>IFERROR(INDEX(Modelos!$G$2:$G$301,MATCH($B405,Modelos!$C$2:$C$301,0))&amp;"","")</f>
        <v/>
      </c>
      <c r="L405" s="7" t="str">
        <f>IFERROR(INDEX(Diccionarios!$G$2:$G$201,MATCH($C405,Diccionarios!$H$2:$H$201,0))&amp;"","")</f>
        <v/>
      </c>
      <c r="M405" s="7" t="str">
        <f>IF(D405="","",D405&amp;"")</f>
        <v/>
      </c>
      <c r="N405" s="8" t="str">
        <f>IF($B405="","",IFERROR(INDEX(Modelos!$H$2:$H$301,MATCH($B405,Modelos!$C$2:$C$301,0)),""))</f>
        <v/>
      </c>
      <c r="O405" s="8" t="str">
        <f>IF($B405="","",IFERROR(INDEX(Modelos!$I$2:$I$301,MATCH($B405,Modelos!$C$2:$C$301,0)),""))</f>
        <v/>
      </c>
      <c r="P405" s="8" t="str">
        <f>IF($B405="","",IFERROR(INDEX(Modelos!$J$2:$J$301,MATCH($B405,Modelos!$C$2:$C$301,0)),""))</f>
        <v/>
      </c>
      <c r="Q405" s="7" t="str">
        <f>IFERROR(INDEX(Diccionarios!$B$2:$B$201,MATCH($A405,Diccionarios!$D$2:$D$201,0))&amp;"","")</f>
        <v/>
      </c>
      <c r="R405" s="7" t="str">
        <f>IFERROR(INDEX(Diccionarios!$C$2:$C$201,MATCH($A405,Diccionarios!$D$2:$D$201,0))&amp;"","")</f>
        <v/>
      </c>
      <c r="S405" s="7" t="str">
        <f>IFERROR(INDEX(Modelos!$K$2:$K$301,MATCH($B405,Modelos!$C$2:$C$301,0))&amp;"","")</f>
        <v/>
      </c>
      <c r="T405" s="7" t="str">
        <f>IFERROR(INDEX(Modelos!$L$2:$L$301,MATCH($B405,Modelos!$C$2:$C$301,0))&amp;"","")</f>
        <v/>
      </c>
    </row>
    <row r="406" spans="1:20" x14ac:dyDescent="0.25">
      <c r="A406" s="5"/>
      <c r="B406" s="5"/>
      <c r="C406" s="5"/>
      <c r="D406" s="6"/>
      <c r="E406" s="5"/>
      <c r="F406" s="7" t="str">
        <f>IF(AND(A406&lt;&gt;"",B406&lt;&gt;"",C406&lt;&gt;"",D406&lt;&gt;""),LEFT(A406,2)&amp;LEFT(B406,4)&amp;LEFT(C406,2)&amp;SUBSTITUTE(UPPER(D406),"Ú","U"),"")</f>
        <v/>
      </c>
      <c r="G406" s="7" t="str">
        <f>IFERROR(INDEX(Modelos!$B$2:$B$301,MATCH($B406,Modelos!$C$2:$C$301,0))&amp;"","")</f>
        <v/>
      </c>
      <c r="H406" s="7" t="str">
        <f>IFERROR(INDEX(Modelos!$D$2:$D$301,MATCH($B406,Modelos!$C$2:$C$301,0))&amp;"","")</f>
        <v/>
      </c>
      <c r="I406" s="7" t="str">
        <f>IFERROR(INDEX(Modelos!$E$2:$E$301,MATCH($B406,Modelos!$C$2:$C$301,0))&amp;"","")</f>
        <v/>
      </c>
      <c r="J406" s="7" t="str">
        <f>IFERROR(INDEX(Modelos!$F$2:$F$301,MATCH($B406,Modelos!$C$2:$C$301,0))&amp;"","")</f>
        <v/>
      </c>
      <c r="K406" s="7" t="str">
        <f>IFERROR(INDEX(Modelos!$G$2:$G$301,MATCH($B406,Modelos!$C$2:$C$301,0))&amp;"","")</f>
        <v/>
      </c>
      <c r="L406" s="7" t="str">
        <f>IFERROR(INDEX(Diccionarios!$G$2:$G$201,MATCH($C406,Diccionarios!$H$2:$H$201,0))&amp;"","")</f>
        <v/>
      </c>
      <c r="M406" s="7" t="str">
        <f>IF(D406="","",D406&amp;"")</f>
        <v/>
      </c>
      <c r="N406" s="8" t="str">
        <f>IF($B406="","",IFERROR(INDEX(Modelos!$H$2:$H$301,MATCH($B406,Modelos!$C$2:$C$301,0)),""))</f>
        <v/>
      </c>
      <c r="O406" s="8" t="str">
        <f>IF($B406="","",IFERROR(INDEX(Modelos!$I$2:$I$301,MATCH($B406,Modelos!$C$2:$C$301,0)),""))</f>
        <v/>
      </c>
      <c r="P406" s="8" t="str">
        <f>IF($B406="","",IFERROR(INDEX(Modelos!$J$2:$J$301,MATCH($B406,Modelos!$C$2:$C$301,0)),""))</f>
        <v/>
      </c>
      <c r="Q406" s="7" t="str">
        <f>IFERROR(INDEX(Diccionarios!$B$2:$B$201,MATCH($A406,Diccionarios!$D$2:$D$201,0))&amp;"","")</f>
        <v/>
      </c>
      <c r="R406" s="7" t="str">
        <f>IFERROR(INDEX(Diccionarios!$C$2:$C$201,MATCH($A406,Diccionarios!$D$2:$D$201,0))&amp;"","")</f>
        <v/>
      </c>
      <c r="S406" s="7" t="str">
        <f>IFERROR(INDEX(Modelos!$K$2:$K$301,MATCH($B406,Modelos!$C$2:$C$301,0))&amp;"","")</f>
        <v/>
      </c>
      <c r="T406" s="7" t="str">
        <f>IFERROR(INDEX(Modelos!$L$2:$L$301,MATCH($B406,Modelos!$C$2:$C$301,0))&amp;"","")</f>
        <v/>
      </c>
    </row>
    <row r="407" spans="1:20" x14ac:dyDescent="0.25">
      <c r="A407" s="5"/>
      <c r="B407" s="5"/>
      <c r="C407" s="5"/>
      <c r="D407" s="6"/>
      <c r="E407" s="5"/>
      <c r="F407" s="7" t="str">
        <f>IF(AND(A407&lt;&gt;"",B407&lt;&gt;"",C407&lt;&gt;"",D407&lt;&gt;""),LEFT(A407,2)&amp;LEFT(B407,4)&amp;LEFT(C407,2)&amp;SUBSTITUTE(UPPER(D407),"Ú","U"),"")</f>
        <v/>
      </c>
      <c r="G407" s="7" t="str">
        <f>IFERROR(INDEX(Modelos!$B$2:$B$301,MATCH($B407,Modelos!$C$2:$C$301,0))&amp;"","")</f>
        <v/>
      </c>
      <c r="H407" s="7" t="str">
        <f>IFERROR(INDEX(Modelos!$D$2:$D$301,MATCH($B407,Modelos!$C$2:$C$301,0))&amp;"","")</f>
        <v/>
      </c>
      <c r="I407" s="7" t="str">
        <f>IFERROR(INDEX(Modelos!$E$2:$E$301,MATCH($B407,Modelos!$C$2:$C$301,0))&amp;"","")</f>
        <v/>
      </c>
      <c r="J407" s="7" t="str">
        <f>IFERROR(INDEX(Modelos!$F$2:$F$301,MATCH($B407,Modelos!$C$2:$C$301,0))&amp;"","")</f>
        <v/>
      </c>
      <c r="K407" s="7" t="str">
        <f>IFERROR(INDEX(Modelos!$G$2:$G$301,MATCH($B407,Modelos!$C$2:$C$301,0))&amp;"","")</f>
        <v/>
      </c>
      <c r="L407" s="7" t="str">
        <f>IFERROR(INDEX(Diccionarios!$G$2:$G$201,MATCH($C407,Diccionarios!$H$2:$H$201,0))&amp;"","")</f>
        <v/>
      </c>
      <c r="M407" s="7" t="str">
        <f>IF(D407="","",D407&amp;"")</f>
        <v/>
      </c>
      <c r="N407" s="8" t="str">
        <f>IF($B407="","",IFERROR(INDEX(Modelos!$H$2:$H$301,MATCH($B407,Modelos!$C$2:$C$301,0)),""))</f>
        <v/>
      </c>
      <c r="O407" s="8" t="str">
        <f>IF($B407="","",IFERROR(INDEX(Modelos!$I$2:$I$301,MATCH($B407,Modelos!$C$2:$C$301,0)),""))</f>
        <v/>
      </c>
      <c r="P407" s="8" t="str">
        <f>IF($B407="","",IFERROR(INDEX(Modelos!$J$2:$J$301,MATCH($B407,Modelos!$C$2:$C$301,0)),""))</f>
        <v/>
      </c>
      <c r="Q407" s="7" t="str">
        <f>IFERROR(INDEX(Diccionarios!$B$2:$B$201,MATCH($A407,Diccionarios!$D$2:$D$201,0))&amp;"","")</f>
        <v/>
      </c>
      <c r="R407" s="7" t="str">
        <f>IFERROR(INDEX(Diccionarios!$C$2:$C$201,MATCH($A407,Diccionarios!$D$2:$D$201,0))&amp;"","")</f>
        <v/>
      </c>
      <c r="S407" s="7" t="str">
        <f>IFERROR(INDEX(Modelos!$K$2:$K$301,MATCH($B407,Modelos!$C$2:$C$301,0))&amp;"","")</f>
        <v/>
      </c>
      <c r="T407" s="7" t="str">
        <f>IFERROR(INDEX(Modelos!$L$2:$L$301,MATCH($B407,Modelos!$C$2:$C$301,0))&amp;"","")</f>
        <v/>
      </c>
    </row>
    <row r="408" spans="1:20" x14ac:dyDescent="0.25">
      <c r="A408" s="5"/>
      <c r="B408" s="5"/>
      <c r="C408" s="5"/>
      <c r="D408" s="6"/>
      <c r="E408" s="5"/>
      <c r="F408" s="7" t="str">
        <f>IF(AND(A408&lt;&gt;"",B408&lt;&gt;"",C408&lt;&gt;"",D408&lt;&gt;""),LEFT(A408,2)&amp;LEFT(B408,4)&amp;LEFT(C408,2)&amp;SUBSTITUTE(UPPER(D408),"Ú","U"),"")</f>
        <v/>
      </c>
      <c r="G408" s="7" t="str">
        <f>IFERROR(INDEX(Modelos!$B$2:$B$301,MATCH($B408,Modelos!$C$2:$C$301,0))&amp;"","")</f>
        <v/>
      </c>
      <c r="H408" s="7" t="str">
        <f>IFERROR(INDEX(Modelos!$D$2:$D$301,MATCH($B408,Modelos!$C$2:$C$301,0))&amp;"","")</f>
        <v/>
      </c>
      <c r="I408" s="7" t="str">
        <f>IFERROR(INDEX(Modelos!$E$2:$E$301,MATCH($B408,Modelos!$C$2:$C$301,0))&amp;"","")</f>
        <v/>
      </c>
      <c r="J408" s="7" t="str">
        <f>IFERROR(INDEX(Modelos!$F$2:$F$301,MATCH($B408,Modelos!$C$2:$C$301,0))&amp;"","")</f>
        <v/>
      </c>
      <c r="K408" s="7" t="str">
        <f>IFERROR(INDEX(Modelos!$G$2:$G$301,MATCH($B408,Modelos!$C$2:$C$301,0))&amp;"","")</f>
        <v/>
      </c>
      <c r="L408" s="7" t="str">
        <f>IFERROR(INDEX(Diccionarios!$G$2:$G$201,MATCH($C408,Diccionarios!$H$2:$H$201,0))&amp;"","")</f>
        <v/>
      </c>
      <c r="M408" s="7" t="str">
        <f>IF(D408="","",D408&amp;"")</f>
        <v/>
      </c>
      <c r="N408" s="8" t="str">
        <f>IF($B408="","",IFERROR(INDEX(Modelos!$H$2:$H$301,MATCH($B408,Modelos!$C$2:$C$301,0)),""))</f>
        <v/>
      </c>
      <c r="O408" s="8" t="str">
        <f>IF($B408="","",IFERROR(INDEX(Modelos!$I$2:$I$301,MATCH($B408,Modelos!$C$2:$C$301,0)),""))</f>
        <v/>
      </c>
      <c r="P408" s="8" t="str">
        <f>IF($B408="","",IFERROR(INDEX(Modelos!$J$2:$J$301,MATCH($B408,Modelos!$C$2:$C$301,0)),""))</f>
        <v/>
      </c>
      <c r="Q408" s="7" t="str">
        <f>IFERROR(INDEX(Diccionarios!$B$2:$B$201,MATCH($A408,Diccionarios!$D$2:$D$201,0))&amp;"","")</f>
        <v/>
      </c>
      <c r="R408" s="7" t="str">
        <f>IFERROR(INDEX(Diccionarios!$C$2:$C$201,MATCH($A408,Diccionarios!$D$2:$D$201,0))&amp;"","")</f>
        <v/>
      </c>
      <c r="S408" s="7" t="str">
        <f>IFERROR(INDEX(Modelos!$K$2:$K$301,MATCH($B408,Modelos!$C$2:$C$301,0))&amp;"","")</f>
        <v/>
      </c>
      <c r="T408" s="7" t="str">
        <f>IFERROR(INDEX(Modelos!$L$2:$L$301,MATCH($B408,Modelos!$C$2:$C$301,0))&amp;"","")</f>
        <v/>
      </c>
    </row>
    <row r="409" spans="1:20" x14ac:dyDescent="0.25">
      <c r="A409" s="5"/>
      <c r="B409" s="5"/>
      <c r="C409" s="5"/>
      <c r="D409" s="6"/>
      <c r="E409" s="5"/>
      <c r="F409" s="7" t="str">
        <f>IF(AND(A409&lt;&gt;"",B409&lt;&gt;"",C409&lt;&gt;"",D409&lt;&gt;""),LEFT(A409,2)&amp;LEFT(B409,4)&amp;LEFT(C409,2)&amp;SUBSTITUTE(UPPER(D409),"Ú","U"),"")</f>
        <v/>
      </c>
      <c r="G409" s="7" t="str">
        <f>IFERROR(INDEX(Modelos!$B$2:$B$301,MATCH($B409,Modelos!$C$2:$C$301,0))&amp;"","")</f>
        <v/>
      </c>
      <c r="H409" s="7" t="str">
        <f>IFERROR(INDEX(Modelos!$D$2:$D$301,MATCH($B409,Modelos!$C$2:$C$301,0))&amp;"","")</f>
        <v/>
      </c>
      <c r="I409" s="7" t="str">
        <f>IFERROR(INDEX(Modelos!$E$2:$E$301,MATCH($B409,Modelos!$C$2:$C$301,0))&amp;"","")</f>
        <v/>
      </c>
      <c r="J409" s="7" t="str">
        <f>IFERROR(INDEX(Modelos!$F$2:$F$301,MATCH($B409,Modelos!$C$2:$C$301,0))&amp;"","")</f>
        <v/>
      </c>
      <c r="K409" s="7" t="str">
        <f>IFERROR(INDEX(Modelos!$G$2:$G$301,MATCH($B409,Modelos!$C$2:$C$301,0))&amp;"","")</f>
        <v/>
      </c>
      <c r="L409" s="7" t="str">
        <f>IFERROR(INDEX(Diccionarios!$G$2:$G$201,MATCH($C409,Diccionarios!$H$2:$H$201,0))&amp;"","")</f>
        <v/>
      </c>
      <c r="M409" s="7" t="str">
        <f>IF(D409="","",D409&amp;"")</f>
        <v/>
      </c>
      <c r="N409" s="8" t="str">
        <f>IF($B409="","",IFERROR(INDEX(Modelos!$H$2:$H$301,MATCH($B409,Modelos!$C$2:$C$301,0)),""))</f>
        <v/>
      </c>
      <c r="O409" s="8" t="str">
        <f>IF($B409="","",IFERROR(INDEX(Modelos!$I$2:$I$301,MATCH($B409,Modelos!$C$2:$C$301,0)),""))</f>
        <v/>
      </c>
      <c r="P409" s="8" t="str">
        <f>IF($B409="","",IFERROR(INDEX(Modelos!$J$2:$J$301,MATCH($B409,Modelos!$C$2:$C$301,0)),""))</f>
        <v/>
      </c>
      <c r="Q409" s="7" t="str">
        <f>IFERROR(INDEX(Diccionarios!$B$2:$B$201,MATCH($A409,Diccionarios!$D$2:$D$201,0))&amp;"","")</f>
        <v/>
      </c>
      <c r="R409" s="7" t="str">
        <f>IFERROR(INDEX(Diccionarios!$C$2:$C$201,MATCH($A409,Diccionarios!$D$2:$D$201,0))&amp;"","")</f>
        <v/>
      </c>
      <c r="S409" s="7" t="str">
        <f>IFERROR(INDEX(Modelos!$K$2:$K$301,MATCH($B409,Modelos!$C$2:$C$301,0))&amp;"","")</f>
        <v/>
      </c>
      <c r="T409" s="7" t="str">
        <f>IFERROR(INDEX(Modelos!$L$2:$L$301,MATCH($B409,Modelos!$C$2:$C$301,0))&amp;"","")</f>
        <v/>
      </c>
    </row>
    <row r="410" spans="1:20" x14ac:dyDescent="0.25">
      <c r="A410" s="5"/>
      <c r="B410" s="5"/>
      <c r="C410" s="5"/>
      <c r="D410" s="6"/>
      <c r="E410" s="5"/>
      <c r="F410" s="7" t="str">
        <f>IF(AND(A410&lt;&gt;"",B410&lt;&gt;"",C410&lt;&gt;"",D410&lt;&gt;""),LEFT(A410,2)&amp;LEFT(B410,4)&amp;LEFT(C410,2)&amp;SUBSTITUTE(UPPER(D410),"Ú","U"),"")</f>
        <v/>
      </c>
      <c r="G410" s="7" t="str">
        <f>IFERROR(INDEX(Modelos!$B$2:$B$301,MATCH($B410,Modelos!$C$2:$C$301,0))&amp;"","")</f>
        <v/>
      </c>
      <c r="H410" s="7" t="str">
        <f>IFERROR(INDEX(Modelos!$D$2:$D$301,MATCH($B410,Modelos!$C$2:$C$301,0))&amp;"","")</f>
        <v/>
      </c>
      <c r="I410" s="7" t="str">
        <f>IFERROR(INDEX(Modelos!$E$2:$E$301,MATCH($B410,Modelos!$C$2:$C$301,0))&amp;"","")</f>
        <v/>
      </c>
      <c r="J410" s="7" t="str">
        <f>IFERROR(INDEX(Modelos!$F$2:$F$301,MATCH($B410,Modelos!$C$2:$C$301,0))&amp;"","")</f>
        <v/>
      </c>
      <c r="K410" s="7" t="str">
        <f>IFERROR(INDEX(Modelos!$G$2:$G$301,MATCH($B410,Modelos!$C$2:$C$301,0))&amp;"","")</f>
        <v/>
      </c>
      <c r="L410" s="7" t="str">
        <f>IFERROR(INDEX(Diccionarios!$G$2:$G$201,MATCH($C410,Diccionarios!$H$2:$H$201,0))&amp;"","")</f>
        <v/>
      </c>
      <c r="M410" s="7" t="str">
        <f>IF(D410="","",D410&amp;"")</f>
        <v/>
      </c>
      <c r="N410" s="8" t="str">
        <f>IF($B410="","",IFERROR(INDEX(Modelos!$H$2:$H$301,MATCH($B410,Modelos!$C$2:$C$301,0)),""))</f>
        <v/>
      </c>
      <c r="O410" s="8" t="str">
        <f>IF($B410="","",IFERROR(INDEX(Modelos!$I$2:$I$301,MATCH($B410,Modelos!$C$2:$C$301,0)),""))</f>
        <v/>
      </c>
      <c r="P410" s="8" t="str">
        <f>IF($B410="","",IFERROR(INDEX(Modelos!$J$2:$J$301,MATCH($B410,Modelos!$C$2:$C$301,0)),""))</f>
        <v/>
      </c>
      <c r="Q410" s="7" t="str">
        <f>IFERROR(INDEX(Diccionarios!$B$2:$B$201,MATCH($A410,Diccionarios!$D$2:$D$201,0))&amp;"","")</f>
        <v/>
      </c>
      <c r="R410" s="7" t="str">
        <f>IFERROR(INDEX(Diccionarios!$C$2:$C$201,MATCH($A410,Diccionarios!$D$2:$D$201,0))&amp;"","")</f>
        <v/>
      </c>
      <c r="S410" s="7" t="str">
        <f>IFERROR(INDEX(Modelos!$K$2:$K$301,MATCH($B410,Modelos!$C$2:$C$301,0))&amp;"","")</f>
        <v/>
      </c>
      <c r="T410" s="7" t="str">
        <f>IFERROR(INDEX(Modelos!$L$2:$L$301,MATCH($B410,Modelos!$C$2:$C$301,0))&amp;"","")</f>
        <v/>
      </c>
    </row>
    <row r="411" spans="1:20" x14ac:dyDescent="0.25">
      <c r="A411" s="5"/>
      <c r="B411" s="5"/>
      <c r="C411" s="5"/>
      <c r="D411" s="6"/>
      <c r="E411" s="5"/>
      <c r="F411" s="7" t="str">
        <f>IF(AND(A411&lt;&gt;"",B411&lt;&gt;"",C411&lt;&gt;"",D411&lt;&gt;""),LEFT(A411,2)&amp;LEFT(B411,4)&amp;LEFT(C411,2)&amp;SUBSTITUTE(UPPER(D411),"Ú","U"),"")</f>
        <v/>
      </c>
      <c r="G411" s="7" t="str">
        <f>IFERROR(INDEX(Modelos!$B$2:$B$301,MATCH($B411,Modelos!$C$2:$C$301,0))&amp;"","")</f>
        <v/>
      </c>
      <c r="H411" s="7" t="str">
        <f>IFERROR(INDEX(Modelos!$D$2:$D$301,MATCH($B411,Modelos!$C$2:$C$301,0))&amp;"","")</f>
        <v/>
      </c>
      <c r="I411" s="7" t="str">
        <f>IFERROR(INDEX(Modelos!$E$2:$E$301,MATCH($B411,Modelos!$C$2:$C$301,0))&amp;"","")</f>
        <v/>
      </c>
      <c r="J411" s="7" t="str">
        <f>IFERROR(INDEX(Modelos!$F$2:$F$301,MATCH($B411,Modelos!$C$2:$C$301,0))&amp;"","")</f>
        <v/>
      </c>
      <c r="K411" s="7" t="str">
        <f>IFERROR(INDEX(Modelos!$G$2:$G$301,MATCH($B411,Modelos!$C$2:$C$301,0))&amp;"","")</f>
        <v/>
      </c>
      <c r="L411" s="7" t="str">
        <f>IFERROR(INDEX(Diccionarios!$G$2:$G$201,MATCH($C411,Diccionarios!$H$2:$H$201,0))&amp;"","")</f>
        <v/>
      </c>
      <c r="M411" s="7" t="str">
        <f>IF(D411="","",D411&amp;"")</f>
        <v/>
      </c>
      <c r="N411" s="8" t="str">
        <f>IF($B411="","",IFERROR(INDEX(Modelos!$H$2:$H$301,MATCH($B411,Modelos!$C$2:$C$301,0)),""))</f>
        <v/>
      </c>
      <c r="O411" s="8" t="str">
        <f>IF($B411="","",IFERROR(INDEX(Modelos!$I$2:$I$301,MATCH($B411,Modelos!$C$2:$C$301,0)),""))</f>
        <v/>
      </c>
      <c r="P411" s="8" t="str">
        <f>IF($B411="","",IFERROR(INDEX(Modelos!$J$2:$J$301,MATCH($B411,Modelos!$C$2:$C$301,0)),""))</f>
        <v/>
      </c>
      <c r="Q411" s="7" t="str">
        <f>IFERROR(INDEX(Diccionarios!$B$2:$B$201,MATCH($A411,Diccionarios!$D$2:$D$201,0))&amp;"","")</f>
        <v/>
      </c>
      <c r="R411" s="7" t="str">
        <f>IFERROR(INDEX(Diccionarios!$C$2:$C$201,MATCH($A411,Diccionarios!$D$2:$D$201,0))&amp;"","")</f>
        <v/>
      </c>
      <c r="S411" s="7" t="str">
        <f>IFERROR(INDEX(Modelos!$K$2:$K$301,MATCH($B411,Modelos!$C$2:$C$301,0))&amp;"","")</f>
        <v/>
      </c>
      <c r="T411" s="7" t="str">
        <f>IFERROR(INDEX(Modelos!$L$2:$L$301,MATCH($B411,Modelos!$C$2:$C$301,0))&amp;"","")</f>
        <v/>
      </c>
    </row>
    <row r="412" spans="1:20" x14ac:dyDescent="0.25">
      <c r="A412" s="5"/>
      <c r="B412" s="5"/>
      <c r="C412" s="5"/>
      <c r="D412" s="6"/>
      <c r="E412" s="5"/>
      <c r="F412" s="7" t="str">
        <f>IF(AND(A412&lt;&gt;"",B412&lt;&gt;"",C412&lt;&gt;"",D412&lt;&gt;""),LEFT(A412,2)&amp;LEFT(B412,4)&amp;LEFT(C412,2)&amp;SUBSTITUTE(UPPER(D412),"Ú","U"),"")</f>
        <v/>
      </c>
      <c r="G412" s="7" t="str">
        <f>IFERROR(INDEX(Modelos!$B$2:$B$301,MATCH($B412,Modelos!$C$2:$C$301,0))&amp;"","")</f>
        <v/>
      </c>
      <c r="H412" s="7" t="str">
        <f>IFERROR(INDEX(Modelos!$D$2:$D$301,MATCH($B412,Modelos!$C$2:$C$301,0))&amp;"","")</f>
        <v/>
      </c>
      <c r="I412" s="7" t="str">
        <f>IFERROR(INDEX(Modelos!$E$2:$E$301,MATCH($B412,Modelos!$C$2:$C$301,0))&amp;"","")</f>
        <v/>
      </c>
      <c r="J412" s="7" t="str">
        <f>IFERROR(INDEX(Modelos!$F$2:$F$301,MATCH($B412,Modelos!$C$2:$C$301,0))&amp;"","")</f>
        <v/>
      </c>
      <c r="K412" s="7" t="str">
        <f>IFERROR(INDEX(Modelos!$G$2:$G$301,MATCH($B412,Modelos!$C$2:$C$301,0))&amp;"","")</f>
        <v/>
      </c>
      <c r="L412" s="7" t="str">
        <f>IFERROR(INDEX(Diccionarios!$G$2:$G$201,MATCH($C412,Diccionarios!$H$2:$H$201,0))&amp;"","")</f>
        <v/>
      </c>
      <c r="M412" s="7" t="str">
        <f>IF(D412="","",D412&amp;"")</f>
        <v/>
      </c>
      <c r="N412" s="8" t="str">
        <f>IF($B412="","",IFERROR(INDEX(Modelos!$H$2:$H$301,MATCH($B412,Modelos!$C$2:$C$301,0)),""))</f>
        <v/>
      </c>
      <c r="O412" s="8" t="str">
        <f>IF($B412="","",IFERROR(INDEX(Modelos!$I$2:$I$301,MATCH($B412,Modelos!$C$2:$C$301,0)),""))</f>
        <v/>
      </c>
      <c r="P412" s="8" t="str">
        <f>IF($B412="","",IFERROR(INDEX(Modelos!$J$2:$J$301,MATCH($B412,Modelos!$C$2:$C$301,0)),""))</f>
        <v/>
      </c>
      <c r="Q412" s="7" t="str">
        <f>IFERROR(INDEX(Diccionarios!$B$2:$B$201,MATCH($A412,Diccionarios!$D$2:$D$201,0))&amp;"","")</f>
        <v/>
      </c>
      <c r="R412" s="7" t="str">
        <f>IFERROR(INDEX(Diccionarios!$C$2:$C$201,MATCH($A412,Diccionarios!$D$2:$D$201,0))&amp;"","")</f>
        <v/>
      </c>
      <c r="S412" s="7" t="str">
        <f>IFERROR(INDEX(Modelos!$K$2:$K$301,MATCH($B412,Modelos!$C$2:$C$301,0))&amp;"","")</f>
        <v/>
      </c>
      <c r="T412" s="7" t="str">
        <f>IFERROR(INDEX(Modelos!$L$2:$L$301,MATCH($B412,Modelos!$C$2:$C$301,0))&amp;"","")</f>
        <v/>
      </c>
    </row>
    <row r="413" spans="1:20" x14ac:dyDescent="0.25">
      <c r="A413" s="5"/>
      <c r="B413" s="5"/>
      <c r="C413" s="5"/>
      <c r="D413" s="6"/>
      <c r="E413" s="5"/>
      <c r="F413" s="7" t="str">
        <f>IF(AND(A413&lt;&gt;"",B413&lt;&gt;"",C413&lt;&gt;"",D413&lt;&gt;""),LEFT(A413,2)&amp;LEFT(B413,4)&amp;LEFT(C413,2)&amp;SUBSTITUTE(UPPER(D413),"Ú","U"),"")</f>
        <v/>
      </c>
      <c r="G413" s="7" t="str">
        <f>IFERROR(INDEX(Modelos!$B$2:$B$301,MATCH($B413,Modelos!$C$2:$C$301,0))&amp;"","")</f>
        <v/>
      </c>
      <c r="H413" s="7" t="str">
        <f>IFERROR(INDEX(Modelos!$D$2:$D$301,MATCH($B413,Modelos!$C$2:$C$301,0))&amp;"","")</f>
        <v/>
      </c>
      <c r="I413" s="7" t="str">
        <f>IFERROR(INDEX(Modelos!$E$2:$E$301,MATCH($B413,Modelos!$C$2:$C$301,0))&amp;"","")</f>
        <v/>
      </c>
      <c r="J413" s="7" t="str">
        <f>IFERROR(INDEX(Modelos!$F$2:$F$301,MATCH($B413,Modelos!$C$2:$C$301,0))&amp;"","")</f>
        <v/>
      </c>
      <c r="K413" s="7" t="str">
        <f>IFERROR(INDEX(Modelos!$G$2:$G$301,MATCH($B413,Modelos!$C$2:$C$301,0))&amp;"","")</f>
        <v/>
      </c>
      <c r="L413" s="7" t="str">
        <f>IFERROR(INDEX(Diccionarios!$G$2:$G$201,MATCH($C413,Diccionarios!$H$2:$H$201,0))&amp;"","")</f>
        <v/>
      </c>
      <c r="M413" s="7" t="str">
        <f>IF(D413="","",D413&amp;"")</f>
        <v/>
      </c>
      <c r="N413" s="8" t="str">
        <f>IF($B413="","",IFERROR(INDEX(Modelos!$H$2:$H$301,MATCH($B413,Modelos!$C$2:$C$301,0)),""))</f>
        <v/>
      </c>
      <c r="O413" s="8" t="str">
        <f>IF($B413="","",IFERROR(INDEX(Modelos!$I$2:$I$301,MATCH($B413,Modelos!$C$2:$C$301,0)),""))</f>
        <v/>
      </c>
      <c r="P413" s="8" t="str">
        <f>IF($B413="","",IFERROR(INDEX(Modelos!$J$2:$J$301,MATCH($B413,Modelos!$C$2:$C$301,0)),""))</f>
        <v/>
      </c>
      <c r="Q413" s="7" t="str">
        <f>IFERROR(INDEX(Diccionarios!$B$2:$B$201,MATCH($A413,Diccionarios!$D$2:$D$201,0))&amp;"","")</f>
        <v/>
      </c>
      <c r="R413" s="7" t="str">
        <f>IFERROR(INDEX(Diccionarios!$C$2:$C$201,MATCH($A413,Diccionarios!$D$2:$D$201,0))&amp;"","")</f>
        <v/>
      </c>
      <c r="S413" s="7" t="str">
        <f>IFERROR(INDEX(Modelos!$K$2:$K$301,MATCH($B413,Modelos!$C$2:$C$301,0))&amp;"","")</f>
        <v/>
      </c>
      <c r="T413" s="7" t="str">
        <f>IFERROR(INDEX(Modelos!$L$2:$L$301,MATCH($B413,Modelos!$C$2:$C$301,0))&amp;"","")</f>
        <v/>
      </c>
    </row>
    <row r="414" spans="1:20" x14ac:dyDescent="0.25">
      <c r="A414" s="5"/>
      <c r="B414" s="5"/>
      <c r="C414" s="5"/>
      <c r="D414" s="6"/>
      <c r="E414" s="5"/>
      <c r="F414" s="7" t="str">
        <f>IF(AND(A414&lt;&gt;"",B414&lt;&gt;"",C414&lt;&gt;"",D414&lt;&gt;""),LEFT(A414,2)&amp;LEFT(B414,4)&amp;LEFT(C414,2)&amp;SUBSTITUTE(UPPER(D414),"Ú","U"),"")</f>
        <v/>
      </c>
      <c r="G414" s="7" t="str">
        <f>IFERROR(INDEX(Modelos!$B$2:$B$301,MATCH($B414,Modelos!$C$2:$C$301,0))&amp;"","")</f>
        <v/>
      </c>
      <c r="H414" s="7" t="str">
        <f>IFERROR(INDEX(Modelos!$D$2:$D$301,MATCH($B414,Modelos!$C$2:$C$301,0))&amp;"","")</f>
        <v/>
      </c>
      <c r="I414" s="7" t="str">
        <f>IFERROR(INDEX(Modelos!$E$2:$E$301,MATCH($B414,Modelos!$C$2:$C$301,0))&amp;"","")</f>
        <v/>
      </c>
      <c r="J414" s="7" t="str">
        <f>IFERROR(INDEX(Modelos!$F$2:$F$301,MATCH($B414,Modelos!$C$2:$C$301,0))&amp;"","")</f>
        <v/>
      </c>
      <c r="K414" s="7" t="str">
        <f>IFERROR(INDEX(Modelos!$G$2:$G$301,MATCH($B414,Modelos!$C$2:$C$301,0))&amp;"","")</f>
        <v/>
      </c>
      <c r="L414" s="7" t="str">
        <f>IFERROR(INDEX(Diccionarios!$G$2:$G$201,MATCH($C414,Diccionarios!$H$2:$H$201,0))&amp;"","")</f>
        <v/>
      </c>
      <c r="M414" s="7" t="str">
        <f>IF(D414="","",D414&amp;"")</f>
        <v/>
      </c>
      <c r="N414" s="8" t="str">
        <f>IF($B414="","",IFERROR(INDEX(Modelos!$H$2:$H$301,MATCH($B414,Modelos!$C$2:$C$301,0)),""))</f>
        <v/>
      </c>
      <c r="O414" s="8" t="str">
        <f>IF($B414="","",IFERROR(INDEX(Modelos!$I$2:$I$301,MATCH($B414,Modelos!$C$2:$C$301,0)),""))</f>
        <v/>
      </c>
      <c r="P414" s="8" t="str">
        <f>IF($B414="","",IFERROR(INDEX(Modelos!$J$2:$J$301,MATCH($B414,Modelos!$C$2:$C$301,0)),""))</f>
        <v/>
      </c>
      <c r="Q414" s="7" t="str">
        <f>IFERROR(INDEX(Diccionarios!$B$2:$B$201,MATCH($A414,Diccionarios!$D$2:$D$201,0))&amp;"","")</f>
        <v/>
      </c>
      <c r="R414" s="7" t="str">
        <f>IFERROR(INDEX(Diccionarios!$C$2:$C$201,MATCH($A414,Diccionarios!$D$2:$D$201,0))&amp;"","")</f>
        <v/>
      </c>
      <c r="S414" s="7" t="str">
        <f>IFERROR(INDEX(Modelos!$K$2:$K$301,MATCH($B414,Modelos!$C$2:$C$301,0))&amp;"","")</f>
        <v/>
      </c>
      <c r="T414" s="7" t="str">
        <f>IFERROR(INDEX(Modelos!$L$2:$L$301,MATCH($B414,Modelos!$C$2:$C$301,0))&amp;"","")</f>
        <v/>
      </c>
    </row>
    <row r="415" spans="1:20" x14ac:dyDescent="0.25">
      <c r="A415" s="5"/>
      <c r="B415" s="5"/>
      <c r="C415" s="5"/>
      <c r="D415" s="6"/>
      <c r="E415" s="5"/>
      <c r="F415" s="7" t="str">
        <f>IF(AND(A415&lt;&gt;"",B415&lt;&gt;"",C415&lt;&gt;"",D415&lt;&gt;""),LEFT(A415,2)&amp;LEFT(B415,4)&amp;LEFT(C415,2)&amp;SUBSTITUTE(UPPER(D415),"Ú","U"),"")</f>
        <v/>
      </c>
      <c r="G415" s="7" t="str">
        <f>IFERROR(INDEX(Modelos!$B$2:$B$301,MATCH($B415,Modelos!$C$2:$C$301,0))&amp;"","")</f>
        <v/>
      </c>
      <c r="H415" s="7" t="str">
        <f>IFERROR(INDEX(Modelos!$D$2:$D$301,MATCH($B415,Modelos!$C$2:$C$301,0))&amp;"","")</f>
        <v/>
      </c>
      <c r="I415" s="7" t="str">
        <f>IFERROR(INDEX(Modelos!$E$2:$E$301,MATCH($B415,Modelos!$C$2:$C$301,0))&amp;"","")</f>
        <v/>
      </c>
      <c r="J415" s="7" t="str">
        <f>IFERROR(INDEX(Modelos!$F$2:$F$301,MATCH($B415,Modelos!$C$2:$C$301,0))&amp;"","")</f>
        <v/>
      </c>
      <c r="K415" s="7" t="str">
        <f>IFERROR(INDEX(Modelos!$G$2:$G$301,MATCH($B415,Modelos!$C$2:$C$301,0))&amp;"","")</f>
        <v/>
      </c>
      <c r="L415" s="7" t="str">
        <f>IFERROR(INDEX(Diccionarios!$G$2:$G$201,MATCH($C415,Diccionarios!$H$2:$H$201,0))&amp;"","")</f>
        <v/>
      </c>
      <c r="M415" s="7" t="str">
        <f>IF(D415="","",D415&amp;"")</f>
        <v/>
      </c>
      <c r="N415" s="8" t="str">
        <f>IF($B415="","",IFERROR(INDEX(Modelos!$H$2:$H$301,MATCH($B415,Modelos!$C$2:$C$301,0)),""))</f>
        <v/>
      </c>
      <c r="O415" s="8" t="str">
        <f>IF($B415="","",IFERROR(INDEX(Modelos!$I$2:$I$301,MATCH($B415,Modelos!$C$2:$C$301,0)),""))</f>
        <v/>
      </c>
      <c r="P415" s="8" t="str">
        <f>IF($B415="","",IFERROR(INDEX(Modelos!$J$2:$J$301,MATCH($B415,Modelos!$C$2:$C$301,0)),""))</f>
        <v/>
      </c>
      <c r="Q415" s="7" t="str">
        <f>IFERROR(INDEX(Diccionarios!$B$2:$B$201,MATCH($A415,Diccionarios!$D$2:$D$201,0))&amp;"","")</f>
        <v/>
      </c>
      <c r="R415" s="7" t="str">
        <f>IFERROR(INDEX(Diccionarios!$C$2:$C$201,MATCH($A415,Diccionarios!$D$2:$D$201,0))&amp;"","")</f>
        <v/>
      </c>
      <c r="S415" s="7" t="str">
        <f>IFERROR(INDEX(Modelos!$K$2:$K$301,MATCH($B415,Modelos!$C$2:$C$301,0))&amp;"","")</f>
        <v/>
      </c>
      <c r="T415" s="7" t="str">
        <f>IFERROR(INDEX(Modelos!$L$2:$L$301,MATCH($B415,Modelos!$C$2:$C$301,0))&amp;"","")</f>
        <v/>
      </c>
    </row>
    <row r="416" spans="1:20" x14ac:dyDescent="0.25">
      <c r="A416" s="5"/>
      <c r="B416" s="5"/>
      <c r="C416" s="5"/>
      <c r="D416" s="6"/>
      <c r="E416" s="5"/>
      <c r="F416" s="7" t="str">
        <f>IF(AND(A416&lt;&gt;"",B416&lt;&gt;"",C416&lt;&gt;"",D416&lt;&gt;""),LEFT(A416,2)&amp;LEFT(B416,4)&amp;LEFT(C416,2)&amp;SUBSTITUTE(UPPER(D416),"Ú","U"),"")</f>
        <v/>
      </c>
      <c r="G416" s="7" t="str">
        <f>IFERROR(INDEX(Modelos!$B$2:$B$301,MATCH($B416,Modelos!$C$2:$C$301,0))&amp;"","")</f>
        <v/>
      </c>
      <c r="H416" s="7" t="str">
        <f>IFERROR(INDEX(Modelos!$D$2:$D$301,MATCH($B416,Modelos!$C$2:$C$301,0))&amp;"","")</f>
        <v/>
      </c>
      <c r="I416" s="7" t="str">
        <f>IFERROR(INDEX(Modelos!$E$2:$E$301,MATCH($B416,Modelos!$C$2:$C$301,0))&amp;"","")</f>
        <v/>
      </c>
      <c r="J416" s="7" t="str">
        <f>IFERROR(INDEX(Modelos!$F$2:$F$301,MATCH($B416,Modelos!$C$2:$C$301,0))&amp;"","")</f>
        <v/>
      </c>
      <c r="K416" s="7" t="str">
        <f>IFERROR(INDEX(Modelos!$G$2:$G$301,MATCH($B416,Modelos!$C$2:$C$301,0))&amp;"","")</f>
        <v/>
      </c>
      <c r="L416" s="7" t="str">
        <f>IFERROR(INDEX(Diccionarios!$G$2:$G$201,MATCH($C416,Diccionarios!$H$2:$H$201,0))&amp;"","")</f>
        <v/>
      </c>
      <c r="M416" s="7" t="str">
        <f>IF(D416="","",D416&amp;"")</f>
        <v/>
      </c>
      <c r="N416" s="8" t="str">
        <f>IF($B416="","",IFERROR(INDEX(Modelos!$H$2:$H$301,MATCH($B416,Modelos!$C$2:$C$301,0)),""))</f>
        <v/>
      </c>
      <c r="O416" s="8" t="str">
        <f>IF($B416="","",IFERROR(INDEX(Modelos!$I$2:$I$301,MATCH($B416,Modelos!$C$2:$C$301,0)),""))</f>
        <v/>
      </c>
      <c r="P416" s="8" t="str">
        <f>IF($B416="","",IFERROR(INDEX(Modelos!$J$2:$J$301,MATCH($B416,Modelos!$C$2:$C$301,0)),""))</f>
        <v/>
      </c>
      <c r="Q416" s="7" t="str">
        <f>IFERROR(INDEX(Diccionarios!$B$2:$B$201,MATCH($A416,Diccionarios!$D$2:$D$201,0))&amp;"","")</f>
        <v/>
      </c>
      <c r="R416" s="7" t="str">
        <f>IFERROR(INDEX(Diccionarios!$C$2:$C$201,MATCH($A416,Diccionarios!$D$2:$D$201,0))&amp;"","")</f>
        <v/>
      </c>
      <c r="S416" s="7" t="str">
        <f>IFERROR(INDEX(Modelos!$K$2:$K$301,MATCH($B416,Modelos!$C$2:$C$301,0))&amp;"","")</f>
        <v/>
      </c>
      <c r="T416" s="7" t="str">
        <f>IFERROR(INDEX(Modelos!$L$2:$L$301,MATCH($B416,Modelos!$C$2:$C$301,0))&amp;"","")</f>
        <v/>
      </c>
    </row>
    <row r="417" spans="1:20" x14ac:dyDescent="0.25">
      <c r="A417" s="5"/>
      <c r="B417" s="5"/>
      <c r="C417" s="5"/>
      <c r="D417" s="6"/>
      <c r="E417" s="5"/>
      <c r="F417" s="7" t="str">
        <f>IF(AND(A417&lt;&gt;"",B417&lt;&gt;"",C417&lt;&gt;"",D417&lt;&gt;""),LEFT(A417,2)&amp;LEFT(B417,4)&amp;LEFT(C417,2)&amp;SUBSTITUTE(UPPER(D417),"Ú","U"),"")</f>
        <v/>
      </c>
      <c r="G417" s="7" t="str">
        <f>IFERROR(INDEX(Modelos!$B$2:$B$301,MATCH($B417,Modelos!$C$2:$C$301,0))&amp;"","")</f>
        <v/>
      </c>
      <c r="H417" s="7" t="str">
        <f>IFERROR(INDEX(Modelos!$D$2:$D$301,MATCH($B417,Modelos!$C$2:$C$301,0))&amp;"","")</f>
        <v/>
      </c>
      <c r="I417" s="7" t="str">
        <f>IFERROR(INDEX(Modelos!$E$2:$E$301,MATCH($B417,Modelos!$C$2:$C$301,0))&amp;"","")</f>
        <v/>
      </c>
      <c r="J417" s="7" t="str">
        <f>IFERROR(INDEX(Modelos!$F$2:$F$301,MATCH($B417,Modelos!$C$2:$C$301,0))&amp;"","")</f>
        <v/>
      </c>
      <c r="K417" s="7" t="str">
        <f>IFERROR(INDEX(Modelos!$G$2:$G$301,MATCH($B417,Modelos!$C$2:$C$301,0))&amp;"","")</f>
        <v/>
      </c>
      <c r="L417" s="7" t="str">
        <f>IFERROR(INDEX(Diccionarios!$G$2:$G$201,MATCH($C417,Diccionarios!$H$2:$H$201,0))&amp;"","")</f>
        <v/>
      </c>
      <c r="M417" s="7" t="str">
        <f>IF(D417="","",D417&amp;"")</f>
        <v/>
      </c>
      <c r="N417" s="8" t="str">
        <f>IF($B417="","",IFERROR(INDEX(Modelos!$H$2:$H$301,MATCH($B417,Modelos!$C$2:$C$301,0)),""))</f>
        <v/>
      </c>
      <c r="O417" s="8" t="str">
        <f>IF($B417="","",IFERROR(INDEX(Modelos!$I$2:$I$301,MATCH($B417,Modelos!$C$2:$C$301,0)),""))</f>
        <v/>
      </c>
      <c r="P417" s="8" t="str">
        <f>IF($B417="","",IFERROR(INDEX(Modelos!$J$2:$J$301,MATCH($B417,Modelos!$C$2:$C$301,0)),""))</f>
        <v/>
      </c>
      <c r="Q417" s="7" t="str">
        <f>IFERROR(INDEX(Diccionarios!$B$2:$B$201,MATCH($A417,Diccionarios!$D$2:$D$201,0))&amp;"","")</f>
        <v/>
      </c>
      <c r="R417" s="7" t="str">
        <f>IFERROR(INDEX(Diccionarios!$C$2:$C$201,MATCH($A417,Diccionarios!$D$2:$D$201,0))&amp;"","")</f>
        <v/>
      </c>
      <c r="S417" s="7" t="str">
        <f>IFERROR(INDEX(Modelos!$K$2:$K$301,MATCH($B417,Modelos!$C$2:$C$301,0))&amp;"","")</f>
        <v/>
      </c>
      <c r="T417" s="7" t="str">
        <f>IFERROR(INDEX(Modelos!$L$2:$L$301,MATCH($B417,Modelos!$C$2:$C$301,0))&amp;"","")</f>
        <v/>
      </c>
    </row>
    <row r="418" spans="1:20" x14ac:dyDescent="0.25">
      <c r="A418" s="5"/>
      <c r="B418" s="5"/>
      <c r="C418" s="5"/>
      <c r="D418" s="6"/>
      <c r="E418" s="5"/>
      <c r="F418" s="7" t="str">
        <f>IF(AND(A418&lt;&gt;"",B418&lt;&gt;"",C418&lt;&gt;"",D418&lt;&gt;""),LEFT(A418,2)&amp;LEFT(B418,4)&amp;LEFT(C418,2)&amp;SUBSTITUTE(UPPER(D418),"Ú","U"),"")</f>
        <v/>
      </c>
      <c r="G418" s="7" t="str">
        <f>IFERROR(INDEX(Modelos!$B$2:$B$301,MATCH($B418,Modelos!$C$2:$C$301,0))&amp;"","")</f>
        <v/>
      </c>
      <c r="H418" s="7" t="str">
        <f>IFERROR(INDEX(Modelos!$D$2:$D$301,MATCH($B418,Modelos!$C$2:$C$301,0))&amp;"","")</f>
        <v/>
      </c>
      <c r="I418" s="7" t="str">
        <f>IFERROR(INDEX(Modelos!$E$2:$E$301,MATCH($B418,Modelos!$C$2:$C$301,0))&amp;"","")</f>
        <v/>
      </c>
      <c r="J418" s="7" t="str">
        <f>IFERROR(INDEX(Modelos!$F$2:$F$301,MATCH($B418,Modelos!$C$2:$C$301,0))&amp;"","")</f>
        <v/>
      </c>
      <c r="K418" s="7" t="str">
        <f>IFERROR(INDEX(Modelos!$G$2:$G$301,MATCH($B418,Modelos!$C$2:$C$301,0))&amp;"","")</f>
        <v/>
      </c>
      <c r="L418" s="7" t="str">
        <f>IFERROR(INDEX(Diccionarios!$G$2:$G$201,MATCH($C418,Diccionarios!$H$2:$H$201,0))&amp;"","")</f>
        <v/>
      </c>
      <c r="M418" s="7" t="str">
        <f>IF(D418="","",D418&amp;"")</f>
        <v/>
      </c>
      <c r="N418" s="8" t="str">
        <f>IF($B418="","",IFERROR(INDEX(Modelos!$H$2:$H$301,MATCH($B418,Modelos!$C$2:$C$301,0)),""))</f>
        <v/>
      </c>
      <c r="O418" s="8" t="str">
        <f>IF($B418="","",IFERROR(INDEX(Modelos!$I$2:$I$301,MATCH($B418,Modelos!$C$2:$C$301,0)),""))</f>
        <v/>
      </c>
      <c r="P418" s="8" t="str">
        <f>IF($B418="","",IFERROR(INDEX(Modelos!$J$2:$J$301,MATCH($B418,Modelos!$C$2:$C$301,0)),""))</f>
        <v/>
      </c>
      <c r="Q418" s="7" t="str">
        <f>IFERROR(INDEX(Diccionarios!$B$2:$B$201,MATCH($A418,Diccionarios!$D$2:$D$201,0))&amp;"","")</f>
        <v/>
      </c>
      <c r="R418" s="7" t="str">
        <f>IFERROR(INDEX(Diccionarios!$C$2:$C$201,MATCH($A418,Diccionarios!$D$2:$D$201,0))&amp;"","")</f>
        <v/>
      </c>
      <c r="S418" s="7" t="str">
        <f>IFERROR(INDEX(Modelos!$K$2:$K$301,MATCH($B418,Modelos!$C$2:$C$301,0))&amp;"","")</f>
        <v/>
      </c>
      <c r="T418" s="7" t="str">
        <f>IFERROR(INDEX(Modelos!$L$2:$L$301,MATCH($B418,Modelos!$C$2:$C$301,0))&amp;"","")</f>
        <v/>
      </c>
    </row>
    <row r="419" spans="1:20" x14ac:dyDescent="0.25">
      <c r="A419" s="5"/>
      <c r="B419" s="5"/>
      <c r="C419" s="5"/>
      <c r="D419" s="6"/>
      <c r="E419" s="5"/>
      <c r="F419" s="7" t="str">
        <f>IF(AND(A419&lt;&gt;"",B419&lt;&gt;"",C419&lt;&gt;"",D419&lt;&gt;""),LEFT(A419,2)&amp;LEFT(B419,4)&amp;LEFT(C419,2)&amp;SUBSTITUTE(UPPER(D419),"Ú","U"),"")</f>
        <v/>
      </c>
      <c r="G419" s="7" t="str">
        <f>IFERROR(INDEX(Modelos!$B$2:$B$301,MATCH($B419,Modelos!$C$2:$C$301,0))&amp;"","")</f>
        <v/>
      </c>
      <c r="H419" s="7" t="str">
        <f>IFERROR(INDEX(Modelos!$D$2:$D$301,MATCH($B419,Modelos!$C$2:$C$301,0))&amp;"","")</f>
        <v/>
      </c>
      <c r="I419" s="7" t="str">
        <f>IFERROR(INDEX(Modelos!$E$2:$E$301,MATCH($B419,Modelos!$C$2:$C$301,0))&amp;"","")</f>
        <v/>
      </c>
      <c r="J419" s="7" t="str">
        <f>IFERROR(INDEX(Modelos!$F$2:$F$301,MATCH($B419,Modelos!$C$2:$C$301,0))&amp;"","")</f>
        <v/>
      </c>
      <c r="K419" s="7" t="str">
        <f>IFERROR(INDEX(Modelos!$G$2:$G$301,MATCH($B419,Modelos!$C$2:$C$301,0))&amp;"","")</f>
        <v/>
      </c>
      <c r="L419" s="7" t="str">
        <f>IFERROR(INDEX(Diccionarios!$G$2:$G$201,MATCH($C419,Diccionarios!$H$2:$H$201,0))&amp;"","")</f>
        <v/>
      </c>
      <c r="M419" s="7" t="str">
        <f>IF(D419="","",D419&amp;"")</f>
        <v/>
      </c>
      <c r="N419" s="8" t="str">
        <f>IF($B419="","",IFERROR(INDEX(Modelos!$H$2:$H$301,MATCH($B419,Modelos!$C$2:$C$301,0)),""))</f>
        <v/>
      </c>
      <c r="O419" s="8" t="str">
        <f>IF($B419="","",IFERROR(INDEX(Modelos!$I$2:$I$301,MATCH($B419,Modelos!$C$2:$C$301,0)),""))</f>
        <v/>
      </c>
      <c r="P419" s="8" t="str">
        <f>IF($B419="","",IFERROR(INDEX(Modelos!$J$2:$J$301,MATCH($B419,Modelos!$C$2:$C$301,0)),""))</f>
        <v/>
      </c>
      <c r="Q419" s="7" t="str">
        <f>IFERROR(INDEX(Diccionarios!$B$2:$B$201,MATCH($A419,Diccionarios!$D$2:$D$201,0))&amp;"","")</f>
        <v/>
      </c>
      <c r="R419" s="7" t="str">
        <f>IFERROR(INDEX(Diccionarios!$C$2:$C$201,MATCH($A419,Diccionarios!$D$2:$D$201,0))&amp;"","")</f>
        <v/>
      </c>
      <c r="S419" s="7" t="str">
        <f>IFERROR(INDEX(Modelos!$K$2:$K$301,MATCH($B419,Modelos!$C$2:$C$301,0))&amp;"","")</f>
        <v/>
      </c>
      <c r="T419" s="7" t="str">
        <f>IFERROR(INDEX(Modelos!$L$2:$L$301,MATCH($B419,Modelos!$C$2:$C$301,0))&amp;"","")</f>
        <v/>
      </c>
    </row>
    <row r="420" spans="1:20" x14ac:dyDescent="0.25">
      <c r="A420" s="5"/>
      <c r="B420" s="5"/>
      <c r="C420" s="5"/>
      <c r="D420" s="6"/>
      <c r="E420" s="5"/>
      <c r="F420" s="7" t="str">
        <f>IF(AND(A420&lt;&gt;"",B420&lt;&gt;"",C420&lt;&gt;"",D420&lt;&gt;""),LEFT(A420,2)&amp;LEFT(B420,4)&amp;LEFT(C420,2)&amp;SUBSTITUTE(UPPER(D420),"Ú","U"),"")</f>
        <v/>
      </c>
      <c r="G420" s="7" t="str">
        <f>IFERROR(INDEX(Modelos!$B$2:$B$301,MATCH($B420,Modelos!$C$2:$C$301,0))&amp;"","")</f>
        <v/>
      </c>
      <c r="H420" s="7" t="str">
        <f>IFERROR(INDEX(Modelos!$D$2:$D$301,MATCH($B420,Modelos!$C$2:$C$301,0))&amp;"","")</f>
        <v/>
      </c>
      <c r="I420" s="7" t="str">
        <f>IFERROR(INDEX(Modelos!$E$2:$E$301,MATCH($B420,Modelos!$C$2:$C$301,0))&amp;"","")</f>
        <v/>
      </c>
      <c r="J420" s="7" t="str">
        <f>IFERROR(INDEX(Modelos!$F$2:$F$301,MATCH($B420,Modelos!$C$2:$C$301,0))&amp;"","")</f>
        <v/>
      </c>
      <c r="K420" s="7" t="str">
        <f>IFERROR(INDEX(Modelos!$G$2:$G$301,MATCH($B420,Modelos!$C$2:$C$301,0))&amp;"","")</f>
        <v/>
      </c>
      <c r="L420" s="7" t="str">
        <f>IFERROR(INDEX(Diccionarios!$G$2:$G$201,MATCH($C420,Diccionarios!$H$2:$H$201,0))&amp;"","")</f>
        <v/>
      </c>
      <c r="M420" s="7" t="str">
        <f>IF(D420="","",D420&amp;"")</f>
        <v/>
      </c>
      <c r="N420" s="8" t="str">
        <f>IF($B420="","",IFERROR(INDEX(Modelos!$H$2:$H$301,MATCH($B420,Modelos!$C$2:$C$301,0)),""))</f>
        <v/>
      </c>
      <c r="O420" s="8" t="str">
        <f>IF($B420="","",IFERROR(INDEX(Modelos!$I$2:$I$301,MATCH($B420,Modelos!$C$2:$C$301,0)),""))</f>
        <v/>
      </c>
      <c r="P420" s="8" t="str">
        <f>IF($B420="","",IFERROR(INDEX(Modelos!$J$2:$J$301,MATCH($B420,Modelos!$C$2:$C$301,0)),""))</f>
        <v/>
      </c>
      <c r="Q420" s="7" t="str">
        <f>IFERROR(INDEX(Diccionarios!$B$2:$B$201,MATCH($A420,Diccionarios!$D$2:$D$201,0))&amp;"","")</f>
        <v/>
      </c>
      <c r="R420" s="7" t="str">
        <f>IFERROR(INDEX(Diccionarios!$C$2:$C$201,MATCH($A420,Diccionarios!$D$2:$D$201,0))&amp;"","")</f>
        <v/>
      </c>
      <c r="S420" s="7" t="str">
        <f>IFERROR(INDEX(Modelos!$K$2:$K$301,MATCH($B420,Modelos!$C$2:$C$301,0))&amp;"","")</f>
        <v/>
      </c>
      <c r="T420" s="7" t="str">
        <f>IFERROR(INDEX(Modelos!$L$2:$L$301,MATCH($B420,Modelos!$C$2:$C$301,0))&amp;"","")</f>
        <v/>
      </c>
    </row>
    <row r="421" spans="1:20" x14ac:dyDescent="0.25">
      <c r="A421" s="5"/>
      <c r="B421" s="5"/>
      <c r="C421" s="5"/>
      <c r="D421" s="6"/>
      <c r="E421" s="5"/>
      <c r="F421" s="7" t="str">
        <f>IF(AND(A421&lt;&gt;"",B421&lt;&gt;"",C421&lt;&gt;"",D421&lt;&gt;""),LEFT(A421,2)&amp;LEFT(B421,4)&amp;LEFT(C421,2)&amp;SUBSTITUTE(UPPER(D421),"Ú","U"),"")</f>
        <v/>
      </c>
      <c r="G421" s="7" t="str">
        <f>IFERROR(INDEX(Modelos!$B$2:$B$301,MATCH($B421,Modelos!$C$2:$C$301,0))&amp;"","")</f>
        <v/>
      </c>
      <c r="H421" s="7" t="str">
        <f>IFERROR(INDEX(Modelos!$D$2:$D$301,MATCH($B421,Modelos!$C$2:$C$301,0))&amp;"","")</f>
        <v/>
      </c>
      <c r="I421" s="7" t="str">
        <f>IFERROR(INDEX(Modelos!$E$2:$E$301,MATCH($B421,Modelos!$C$2:$C$301,0))&amp;"","")</f>
        <v/>
      </c>
      <c r="J421" s="7" t="str">
        <f>IFERROR(INDEX(Modelos!$F$2:$F$301,MATCH($B421,Modelos!$C$2:$C$301,0))&amp;"","")</f>
        <v/>
      </c>
      <c r="K421" s="7" t="str">
        <f>IFERROR(INDEX(Modelos!$G$2:$G$301,MATCH($B421,Modelos!$C$2:$C$301,0))&amp;"","")</f>
        <v/>
      </c>
      <c r="L421" s="7" t="str">
        <f>IFERROR(INDEX(Diccionarios!$G$2:$G$201,MATCH($C421,Diccionarios!$H$2:$H$201,0))&amp;"","")</f>
        <v/>
      </c>
      <c r="M421" s="7" t="str">
        <f>IF(D421="","",D421&amp;"")</f>
        <v/>
      </c>
      <c r="N421" s="8" t="str">
        <f>IF($B421="","",IFERROR(INDEX(Modelos!$H$2:$H$301,MATCH($B421,Modelos!$C$2:$C$301,0)),""))</f>
        <v/>
      </c>
      <c r="O421" s="8" t="str">
        <f>IF($B421="","",IFERROR(INDEX(Modelos!$I$2:$I$301,MATCH($B421,Modelos!$C$2:$C$301,0)),""))</f>
        <v/>
      </c>
      <c r="P421" s="8" t="str">
        <f>IF($B421="","",IFERROR(INDEX(Modelos!$J$2:$J$301,MATCH($B421,Modelos!$C$2:$C$301,0)),""))</f>
        <v/>
      </c>
      <c r="Q421" s="7" t="str">
        <f>IFERROR(INDEX(Diccionarios!$B$2:$B$201,MATCH($A421,Diccionarios!$D$2:$D$201,0))&amp;"","")</f>
        <v/>
      </c>
      <c r="R421" s="7" t="str">
        <f>IFERROR(INDEX(Diccionarios!$C$2:$C$201,MATCH($A421,Diccionarios!$D$2:$D$201,0))&amp;"","")</f>
        <v/>
      </c>
      <c r="S421" s="7" t="str">
        <f>IFERROR(INDEX(Modelos!$K$2:$K$301,MATCH($B421,Modelos!$C$2:$C$301,0))&amp;"","")</f>
        <v/>
      </c>
      <c r="T421" s="7" t="str">
        <f>IFERROR(INDEX(Modelos!$L$2:$L$301,MATCH($B421,Modelos!$C$2:$C$301,0))&amp;"","")</f>
        <v/>
      </c>
    </row>
    <row r="422" spans="1:20" x14ac:dyDescent="0.25">
      <c r="A422" s="5"/>
      <c r="B422" s="5"/>
      <c r="C422" s="5"/>
      <c r="D422" s="6"/>
      <c r="E422" s="5"/>
      <c r="F422" s="7" t="str">
        <f>IF(AND(A422&lt;&gt;"",B422&lt;&gt;"",C422&lt;&gt;"",D422&lt;&gt;""),LEFT(A422,2)&amp;LEFT(B422,4)&amp;LEFT(C422,2)&amp;SUBSTITUTE(UPPER(D422),"Ú","U"),"")</f>
        <v/>
      </c>
      <c r="G422" s="7" t="str">
        <f>IFERROR(INDEX(Modelos!$B$2:$B$301,MATCH($B422,Modelos!$C$2:$C$301,0))&amp;"","")</f>
        <v/>
      </c>
      <c r="H422" s="7" t="str">
        <f>IFERROR(INDEX(Modelos!$D$2:$D$301,MATCH($B422,Modelos!$C$2:$C$301,0))&amp;"","")</f>
        <v/>
      </c>
      <c r="I422" s="7" t="str">
        <f>IFERROR(INDEX(Modelos!$E$2:$E$301,MATCH($B422,Modelos!$C$2:$C$301,0))&amp;"","")</f>
        <v/>
      </c>
      <c r="J422" s="7" t="str">
        <f>IFERROR(INDEX(Modelos!$F$2:$F$301,MATCH($B422,Modelos!$C$2:$C$301,0))&amp;"","")</f>
        <v/>
      </c>
      <c r="K422" s="7" t="str">
        <f>IFERROR(INDEX(Modelos!$G$2:$G$301,MATCH($B422,Modelos!$C$2:$C$301,0))&amp;"","")</f>
        <v/>
      </c>
      <c r="L422" s="7" t="str">
        <f>IFERROR(INDEX(Diccionarios!$G$2:$G$201,MATCH($C422,Diccionarios!$H$2:$H$201,0))&amp;"","")</f>
        <v/>
      </c>
      <c r="M422" s="7" t="str">
        <f>IF(D422="","",D422&amp;"")</f>
        <v/>
      </c>
      <c r="N422" s="8" t="str">
        <f>IF($B422="","",IFERROR(INDEX(Modelos!$H$2:$H$301,MATCH($B422,Modelos!$C$2:$C$301,0)),""))</f>
        <v/>
      </c>
      <c r="O422" s="8" t="str">
        <f>IF($B422="","",IFERROR(INDEX(Modelos!$I$2:$I$301,MATCH($B422,Modelos!$C$2:$C$301,0)),""))</f>
        <v/>
      </c>
      <c r="P422" s="8" t="str">
        <f>IF($B422="","",IFERROR(INDEX(Modelos!$J$2:$J$301,MATCH($B422,Modelos!$C$2:$C$301,0)),""))</f>
        <v/>
      </c>
      <c r="Q422" s="7" t="str">
        <f>IFERROR(INDEX(Diccionarios!$B$2:$B$201,MATCH($A422,Diccionarios!$D$2:$D$201,0))&amp;"","")</f>
        <v/>
      </c>
      <c r="R422" s="7" t="str">
        <f>IFERROR(INDEX(Diccionarios!$C$2:$C$201,MATCH($A422,Diccionarios!$D$2:$D$201,0))&amp;"","")</f>
        <v/>
      </c>
      <c r="S422" s="7" t="str">
        <f>IFERROR(INDEX(Modelos!$K$2:$K$301,MATCH($B422,Modelos!$C$2:$C$301,0))&amp;"","")</f>
        <v/>
      </c>
      <c r="T422" s="7" t="str">
        <f>IFERROR(INDEX(Modelos!$L$2:$L$301,MATCH($B422,Modelos!$C$2:$C$301,0))&amp;"","")</f>
        <v/>
      </c>
    </row>
    <row r="423" spans="1:20" x14ac:dyDescent="0.25">
      <c r="A423" s="5"/>
      <c r="B423" s="5"/>
      <c r="C423" s="5"/>
      <c r="D423" s="6"/>
      <c r="E423" s="5"/>
      <c r="F423" s="7" t="str">
        <f>IF(AND(A423&lt;&gt;"",B423&lt;&gt;"",C423&lt;&gt;"",D423&lt;&gt;""),LEFT(A423,2)&amp;LEFT(B423,4)&amp;LEFT(C423,2)&amp;SUBSTITUTE(UPPER(D423),"Ú","U"),"")</f>
        <v/>
      </c>
      <c r="G423" s="7" t="str">
        <f>IFERROR(INDEX(Modelos!$B$2:$B$301,MATCH($B423,Modelos!$C$2:$C$301,0))&amp;"","")</f>
        <v/>
      </c>
      <c r="H423" s="7" t="str">
        <f>IFERROR(INDEX(Modelos!$D$2:$D$301,MATCH($B423,Modelos!$C$2:$C$301,0))&amp;"","")</f>
        <v/>
      </c>
      <c r="I423" s="7" t="str">
        <f>IFERROR(INDEX(Modelos!$E$2:$E$301,MATCH($B423,Modelos!$C$2:$C$301,0))&amp;"","")</f>
        <v/>
      </c>
      <c r="J423" s="7" t="str">
        <f>IFERROR(INDEX(Modelos!$F$2:$F$301,MATCH($B423,Modelos!$C$2:$C$301,0))&amp;"","")</f>
        <v/>
      </c>
      <c r="K423" s="7" t="str">
        <f>IFERROR(INDEX(Modelos!$G$2:$G$301,MATCH($B423,Modelos!$C$2:$C$301,0))&amp;"","")</f>
        <v/>
      </c>
      <c r="L423" s="7" t="str">
        <f>IFERROR(INDEX(Diccionarios!$G$2:$G$201,MATCH($C423,Diccionarios!$H$2:$H$201,0))&amp;"","")</f>
        <v/>
      </c>
      <c r="M423" s="7" t="str">
        <f>IF(D423="","",D423&amp;"")</f>
        <v/>
      </c>
      <c r="N423" s="8" t="str">
        <f>IF($B423="","",IFERROR(INDEX(Modelos!$H$2:$H$301,MATCH($B423,Modelos!$C$2:$C$301,0)),""))</f>
        <v/>
      </c>
      <c r="O423" s="8" t="str">
        <f>IF($B423="","",IFERROR(INDEX(Modelos!$I$2:$I$301,MATCH($B423,Modelos!$C$2:$C$301,0)),""))</f>
        <v/>
      </c>
      <c r="P423" s="8" t="str">
        <f>IF($B423="","",IFERROR(INDEX(Modelos!$J$2:$J$301,MATCH($B423,Modelos!$C$2:$C$301,0)),""))</f>
        <v/>
      </c>
      <c r="Q423" s="7" t="str">
        <f>IFERROR(INDEX(Diccionarios!$B$2:$B$201,MATCH($A423,Diccionarios!$D$2:$D$201,0))&amp;"","")</f>
        <v/>
      </c>
      <c r="R423" s="7" t="str">
        <f>IFERROR(INDEX(Diccionarios!$C$2:$C$201,MATCH($A423,Diccionarios!$D$2:$D$201,0))&amp;"","")</f>
        <v/>
      </c>
      <c r="S423" s="7" t="str">
        <f>IFERROR(INDEX(Modelos!$K$2:$K$301,MATCH($B423,Modelos!$C$2:$C$301,0))&amp;"","")</f>
        <v/>
      </c>
      <c r="T423" s="7" t="str">
        <f>IFERROR(INDEX(Modelos!$L$2:$L$301,MATCH($B423,Modelos!$C$2:$C$301,0))&amp;"","")</f>
        <v/>
      </c>
    </row>
    <row r="424" spans="1:20" x14ac:dyDescent="0.25">
      <c r="A424" s="5"/>
      <c r="B424" s="5"/>
      <c r="C424" s="5"/>
      <c r="D424" s="6"/>
      <c r="E424" s="5"/>
      <c r="F424" s="7" t="str">
        <f>IF(AND(A424&lt;&gt;"",B424&lt;&gt;"",C424&lt;&gt;"",D424&lt;&gt;""),LEFT(A424,2)&amp;LEFT(B424,4)&amp;LEFT(C424,2)&amp;SUBSTITUTE(UPPER(D424),"Ú","U"),"")</f>
        <v/>
      </c>
      <c r="G424" s="7" t="str">
        <f>IFERROR(INDEX(Modelos!$B$2:$B$301,MATCH($B424,Modelos!$C$2:$C$301,0))&amp;"","")</f>
        <v/>
      </c>
      <c r="H424" s="7" t="str">
        <f>IFERROR(INDEX(Modelos!$D$2:$D$301,MATCH($B424,Modelos!$C$2:$C$301,0))&amp;"","")</f>
        <v/>
      </c>
      <c r="I424" s="7" t="str">
        <f>IFERROR(INDEX(Modelos!$E$2:$E$301,MATCH($B424,Modelos!$C$2:$C$301,0))&amp;"","")</f>
        <v/>
      </c>
      <c r="J424" s="7" t="str">
        <f>IFERROR(INDEX(Modelos!$F$2:$F$301,MATCH($B424,Modelos!$C$2:$C$301,0))&amp;"","")</f>
        <v/>
      </c>
      <c r="K424" s="7" t="str">
        <f>IFERROR(INDEX(Modelos!$G$2:$G$301,MATCH($B424,Modelos!$C$2:$C$301,0))&amp;"","")</f>
        <v/>
      </c>
      <c r="L424" s="7" t="str">
        <f>IFERROR(INDEX(Diccionarios!$G$2:$G$201,MATCH($C424,Diccionarios!$H$2:$H$201,0))&amp;"","")</f>
        <v/>
      </c>
      <c r="M424" s="7" t="str">
        <f>IF(D424="","",D424&amp;"")</f>
        <v/>
      </c>
      <c r="N424" s="8" t="str">
        <f>IF($B424="","",IFERROR(INDEX(Modelos!$H$2:$H$301,MATCH($B424,Modelos!$C$2:$C$301,0)),""))</f>
        <v/>
      </c>
      <c r="O424" s="8" t="str">
        <f>IF($B424="","",IFERROR(INDEX(Modelos!$I$2:$I$301,MATCH($B424,Modelos!$C$2:$C$301,0)),""))</f>
        <v/>
      </c>
      <c r="P424" s="8" t="str">
        <f>IF($B424="","",IFERROR(INDEX(Modelos!$J$2:$J$301,MATCH($B424,Modelos!$C$2:$C$301,0)),""))</f>
        <v/>
      </c>
      <c r="Q424" s="7" t="str">
        <f>IFERROR(INDEX(Diccionarios!$B$2:$B$201,MATCH($A424,Diccionarios!$D$2:$D$201,0))&amp;"","")</f>
        <v/>
      </c>
      <c r="R424" s="7" t="str">
        <f>IFERROR(INDEX(Diccionarios!$C$2:$C$201,MATCH($A424,Diccionarios!$D$2:$D$201,0))&amp;"","")</f>
        <v/>
      </c>
      <c r="S424" s="7" t="str">
        <f>IFERROR(INDEX(Modelos!$K$2:$K$301,MATCH($B424,Modelos!$C$2:$C$301,0))&amp;"","")</f>
        <v/>
      </c>
      <c r="T424" s="7" t="str">
        <f>IFERROR(INDEX(Modelos!$L$2:$L$301,MATCH($B424,Modelos!$C$2:$C$301,0))&amp;"","")</f>
        <v/>
      </c>
    </row>
    <row r="425" spans="1:20" x14ac:dyDescent="0.25">
      <c r="A425" s="5"/>
      <c r="B425" s="5"/>
      <c r="C425" s="5"/>
      <c r="D425" s="6"/>
      <c r="E425" s="5"/>
      <c r="F425" s="7" t="str">
        <f>IF(AND(A425&lt;&gt;"",B425&lt;&gt;"",C425&lt;&gt;"",D425&lt;&gt;""),LEFT(A425,2)&amp;LEFT(B425,4)&amp;LEFT(C425,2)&amp;SUBSTITUTE(UPPER(D425),"Ú","U"),"")</f>
        <v/>
      </c>
      <c r="G425" s="7" t="str">
        <f>IFERROR(INDEX(Modelos!$B$2:$B$301,MATCH($B425,Modelos!$C$2:$C$301,0))&amp;"","")</f>
        <v/>
      </c>
      <c r="H425" s="7" t="str">
        <f>IFERROR(INDEX(Modelos!$D$2:$D$301,MATCH($B425,Modelos!$C$2:$C$301,0))&amp;"","")</f>
        <v/>
      </c>
      <c r="I425" s="7" t="str">
        <f>IFERROR(INDEX(Modelos!$E$2:$E$301,MATCH($B425,Modelos!$C$2:$C$301,0))&amp;"","")</f>
        <v/>
      </c>
      <c r="J425" s="7" t="str">
        <f>IFERROR(INDEX(Modelos!$F$2:$F$301,MATCH($B425,Modelos!$C$2:$C$301,0))&amp;"","")</f>
        <v/>
      </c>
      <c r="K425" s="7" t="str">
        <f>IFERROR(INDEX(Modelos!$G$2:$G$301,MATCH($B425,Modelos!$C$2:$C$301,0))&amp;"","")</f>
        <v/>
      </c>
      <c r="L425" s="7" t="str">
        <f>IFERROR(INDEX(Diccionarios!$G$2:$G$201,MATCH($C425,Diccionarios!$H$2:$H$201,0))&amp;"","")</f>
        <v/>
      </c>
      <c r="M425" s="7" t="str">
        <f>IF(D425="","",D425&amp;"")</f>
        <v/>
      </c>
      <c r="N425" s="8" t="str">
        <f>IF($B425="","",IFERROR(INDEX(Modelos!$H$2:$H$301,MATCH($B425,Modelos!$C$2:$C$301,0)),""))</f>
        <v/>
      </c>
      <c r="O425" s="8" t="str">
        <f>IF($B425="","",IFERROR(INDEX(Modelos!$I$2:$I$301,MATCH($B425,Modelos!$C$2:$C$301,0)),""))</f>
        <v/>
      </c>
      <c r="P425" s="8" t="str">
        <f>IF($B425="","",IFERROR(INDEX(Modelos!$J$2:$J$301,MATCH($B425,Modelos!$C$2:$C$301,0)),""))</f>
        <v/>
      </c>
      <c r="Q425" s="7" t="str">
        <f>IFERROR(INDEX(Diccionarios!$B$2:$B$201,MATCH($A425,Diccionarios!$D$2:$D$201,0))&amp;"","")</f>
        <v/>
      </c>
      <c r="R425" s="7" t="str">
        <f>IFERROR(INDEX(Diccionarios!$C$2:$C$201,MATCH($A425,Diccionarios!$D$2:$D$201,0))&amp;"","")</f>
        <v/>
      </c>
      <c r="S425" s="7" t="str">
        <f>IFERROR(INDEX(Modelos!$K$2:$K$301,MATCH($B425,Modelos!$C$2:$C$301,0))&amp;"","")</f>
        <v/>
      </c>
      <c r="T425" s="7" t="str">
        <f>IFERROR(INDEX(Modelos!$L$2:$L$301,MATCH($B425,Modelos!$C$2:$C$301,0))&amp;"","")</f>
        <v/>
      </c>
    </row>
    <row r="426" spans="1:20" x14ac:dyDescent="0.25">
      <c r="A426" s="5"/>
      <c r="B426" s="5"/>
      <c r="C426" s="5"/>
      <c r="D426" s="6"/>
      <c r="E426" s="5"/>
      <c r="F426" s="7" t="str">
        <f>IF(AND(A426&lt;&gt;"",B426&lt;&gt;"",C426&lt;&gt;"",D426&lt;&gt;""),LEFT(A426,2)&amp;LEFT(B426,4)&amp;LEFT(C426,2)&amp;SUBSTITUTE(UPPER(D426),"Ú","U"),"")</f>
        <v/>
      </c>
      <c r="G426" s="7" t="str">
        <f>IFERROR(INDEX(Modelos!$B$2:$B$301,MATCH($B426,Modelos!$C$2:$C$301,0))&amp;"","")</f>
        <v/>
      </c>
      <c r="H426" s="7" t="str">
        <f>IFERROR(INDEX(Modelos!$D$2:$D$301,MATCH($B426,Modelos!$C$2:$C$301,0))&amp;"","")</f>
        <v/>
      </c>
      <c r="I426" s="7" t="str">
        <f>IFERROR(INDEX(Modelos!$E$2:$E$301,MATCH($B426,Modelos!$C$2:$C$301,0))&amp;"","")</f>
        <v/>
      </c>
      <c r="J426" s="7" t="str">
        <f>IFERROR(INDEX(Modelos!$F$2:$F$301,MATCH($B426,Modelos!$C$2:$C$301,0))&amp;"","")</f>
        <v/>
      </c>
      <c r="K426" s="7" t="str">
        <f>IFERROR(INDEX(Modelos!$G$2:$G$301,MATCH($B426,Modelos!$C$2:$C$301,0))&amp;"","")</f>
        <v/>
      </c>
      <c r="L426" s="7" t="str">
        <f>IFERROR(INDEX(Diccionarios!$G$2:$G$201,MATCH($C426,Diccionarios!$H$2:$H$201,0))&amp;"","")</f>
        <v/>
      </c>
      <c r="M426" s="7" t="str">
        <f>IF(D426="","",D426&amp;"")</f>
        <v/>
      </c>
      <c r="N426" s="8" t="str">
        <f>IF($B426="","",IFERROR(INDEX(Modelos!$H$2:$H$301,MATCH($B426,Modelos!$C$2:$C$301,0)),""))</f>
        <v/>
      </c>
      <c r="O426" s="8" t="str">
        <f>IF($B426="","",IFERROR(INDEX(Modelos!$I$2:$I$301,MATCH($B426,Modelos!$C$2:$C$301,0)),""))</f>
        <v/>
      </c>
      <c r="P426" s="8" t="str">
        <f>IF($B426="","",IFERROR(INDEX(Modelos!$J$2:$J$301,MATCH($B426,Modelos!$C$2:$C$301,0)),""))</f>
        <v/>
      </c>
      <c r="Q426" s="7" t="str">
        <f>IFERROR(INDEX(Diccionarios!$B$2:$B$201,MATCH($A426,Diccionarios!$D$2:$D$201,0))&amp;"","")</f>
        <v/>
      </c>
      <c r="R426" s="7" t="str">
        <f>IFERROR(INDEX(Diccionarios!$C$2:$C$201,MATCH($A426,Diccionarios!$D$2:$D$201,0))&amp;"","")</f>
        <v/>
      </c>
      <c r="S426" s="7" t="str">
        <f>IFERROR(INDEX(Modelos!$K$2:$K$301,MATCH($B426,Modelos!$C$2:$C$301,0))&amp;"","")</f>
        <v/>
      </c>
      <c r="T426" s="7" t="str">
        <f>IFERROR(INDEX(Modelos!$L$2:$L$301,MATCH($B426,Modelos!$C$2:$C$301,0))&amp;"","")</f>
        <v/>
      </c>
    </row>
    <row r="427" spans="1:20" x14ac:dyDescent="0.25">
      <c r="A427" s="5"/>
      <c r="B427" s="5"/>
      <c r="C427" s="5"/>
      <c r="D427" s="6"/>
      <c r="E427" s="5"/>
      <c r="F427" s="7" t="str">
        <f>IF(AND(A427&lt;&gt;"",B427&lt;&gt;"",C427&lt;&gt;"",D427&lt;&gt;""),LEFT(A427,2)&amp;LEFT(B427,4)&amp;LEFT(C427,2)&amp;SUBSTITUTE(UPPER(D427),"Ú","U"),"")</f>
        <v/>
      </c>
      <c r="G427" s="7" t="str">
        <f>IFERROR(INDEX(Modelos!$B$2:$B$301,MATCH($B427,Modelos!$C$2:$C$301,0))&amp;"","")</f>
        <v/>
      </c>
      <c r="H427" s="7" t="str">
        <f>IFERROR(INDEX(Modelos!$D$2:$D$301,MATCH($B427,Modelos!$C$2:$C$301,0))&amp;"","")</f>
        <v/>
      </c>
      <c r="I427" s="7" t="str">
        <f>IFERROR(INDEX(Modelos!$E$2:$E$301,MATCH($B427,Modelos!$C$2:$C$301,0))&amp;"","")</f>
        <v/>
      </c>
      <c r="J427" s="7" t="str">
        <f>IFERROR(INDEX(Modelos!$F$2:$F$301,MATCH($B427,Modelos!$C$2:$C$301,0))&amp;"","")</f>
        <v/>
      </c>
      <c r="K427" s="7" t="str">
        <f>IFERROR(INDEX(Modelos!$G$2:$G$301,MATCH($B427,Modelos!$C$2:$C$301,0))&amp;"","")</f>
        <v/>
      </c>
      <c r="L427" s="7" t="str">
        <f>IFERROR(INDEX(Diccionarios!$G$2:$G$201,MATCH($C427,Diccionarios!$H$2:$H$201,0))&amp;"","")</f>
        <v/>
      </c>
      <c r="M427" s="7" t="str">
        <f>IF(D427="","",D427&amp;"")</f>
        <v/>
      </c>
      <c r="N427" s="8" t="str">
        <f>IF($B427="","",IFERROR(INDEX(Modelos!$H$2:$H$301,MATCH($B427,Modelos!$C$2:$C$301,0)),""))</f>
        <v/>
      </c>
      <c r="O427" s="8" t="str">
        <f>IF($B427="","",IFERROR(INDEX(Modelos!$I$2:$I$301,MATCH($B427,Modelos!$C$2:$C$301,0)),""))</f>
        <v/>
      </c>
      <c r="P427" s="8" t="str">
        <f>IF($B427="","",IFERROR(INDEX(Modelos!$J$2:$J$301,MATCH($B427,Modelos!$C$2:$C$301,0)),""))</f>
        <v/>
      </c>
      <c r="Q427" s="7" t="str">
        <f>IFERROR(INDEX(Diccionarios!$B$2:$B$201,MATCH($A427,Diccionarios!$D$2:$D$201,0))&amp;"","")</f>
        <v/>
      </c>
      <c r="R427" s="7" t="str">
        <f>IFERROR(INDEX(Diccionarios!$C$2:$C$201,MATCH($A427,Diccionarios!$D$2:$D$201,0))&amp;"","")</f>
        <v/>
      </c>
      <c r="S427" s="7" t="str">
        <f>IFERROR(INDEX(Modelos!$K$2:$K$301,MATCH($B427,Modelos!$C$2:$C$301,0))&amp;"","")</f>
        <v/>
      </c>
      <c r="T427" s="7" t="str">
        <f>IFERROR(INDEX(Modelos!$L$2:$L$301,MATCH($B427,Modelos!$C$2:$C$301,0))&amp;"","")</f>
        <v/>
      </c>
    </row>
    <row r="428" spans="1:20" x14ac:dyDescent="0.25">
      <c r="A428" s="5"/>
      <c r="B428" s="5"/>
      <c r="C428" s="5"/>
      <c r="D428" s="6"/>
      <c r="E428" s="5"/>
      <c r="F428" s="7" t="str">
        <f>IF(AND(A428&lt;&gt;"",B428&lt;&gt;"",C428&lt;&gt;"",D428&lt;&gt;""),LEFT(A428,2)&amp;LEFT(B428,4)&amp;LEFT(C428,2)&amp;SUBSTITUTE(UPPER(D428),"Ú","U"),"")</f>
        <v/>
      </c>
      <c r="G428" s="7" t="str">
        <f>IFERROR(INDEX(Modelos!$B$2:$B$301,MATCH($B428,Modelos!$C$2:$C$301,0))&amp;"","")</f>
        <v/>
      </c>
      <c r="H428" s="7" t="str">
        <f>IFERROR(INDEX(Modelos!$D$2:$D$301,MATCH($B428,Modelos!$C$2:$C$301,0))&amp;"","")</f>
        <v/>
      </c>
      <c r="I428" s="7" t="str">
        <f>IFERROR(INDEX(Modelos!$E$2:$E$301,MATCH($B428,Modelos!$C$2:$C$301,0))&amp;"","")</f>
        <v/>
      </c>
      <c r="J428" s="7" t="str">
        <f>IFERROR(INDEX(Modelos!$F$2:$F$301,MATCH($B428,Modelos!$C$2:$C$301,0))&amp;"","")</f>
        <v/>
      </c>
      <c r="K428" s="7" t="str">
        <f>IFERROR(INDEX(Modelos!$G$2:$G$301,MATCH($B428,Modelos!$C$2:$C$301,0))&amp;"","")</f>
        <v/>
      </c>
      <c r="L428" s="7" t="str">
        <f>IFERROR(INDEX(Diccionarios!$G$2:$G$201,MATCH($C428,Diccionarios!$H$2:$H$201,0))&amp;"","")</f>
        <v/>
      </c>
      <c r="M428" s="7" t="str">
        <f>IF(D428="","",D428&amp;"")</f>
        <v/>
      </c>
      <c r="N428" s="8" t="str">
        <f>IF($B428="","",IFERROR(INDEX(Modelos!$H$2:$H$301,MATCH($B428,Modelos!$C$2:$C$301,0)),""))</f>
        <v/>
      </c>
      <c r="O428" s="8" t="str">
        <f>IF($B428="","",IFERROR(INDEX(Modelos!$I$2:$I$301,MATCH($B428,Modelos!$C$2:$C$301,0)),""))</f>
        <v/>
      </c>
      <c r="P428" s="8" t="str">
        <f>IF($B428="","",IFERROR(INDEX(Modelos!$J$2:$J$301,MATCH($B428,Modelos!$C$2:$C$301,0)),""))</f>
        <v/>
      </c>
      <c r="Q428" s="7" t="str">
        <f>IFERROR(INDEX(Diccionarios!$B$2:$B$201,MATCH($A428,Diccionarios!$D$2:$D$201,0))&amp;"","")</f>
        <v/>
      </c>
      <c r="R428" s="7" t="str">
        <f>IFERROR(INDEX(Diccionarios!$C$2:$C$201,MATCH($A428,Diccionarios!$D$2:$D$201,0))&amp;"","")</f>
        <v/>
      </c>
      <c r="S428" s="7" t="str">
        <f>IFERROR(INDEX(Modelos!$K$2:$K$301,MATCH($B428,Modelos!$C$2:$C$301,0))&amp;"","")</f>
        <v/>
      </c>
      <c r="T428" s="7" t="str">
        <f>IFERROR(INDEX(Modelos!$L$2:$L$301,MATCH($B428,Modelos!$C$2:$C$301,0))&amp;"","")</f>
        <v/>
      </c>
    </row>
    <row r="429" spans="1:20" x14ac:dyDescent="0.25">
      <c r="A429" s="5"/>
      <c r="B429" s="5"/>
      <c r="C429" s="5"/>
      <c r="D429" s="6"/>
      <c r="E429" s="5"/>
      <c r="F429" s="7" t="str">
        <f>IF(AND(A429&lt;&gt;"",B429&lt;&gt;"",C429&lt;&gt;"",D429&lt;&gt;""),LEFT(A429,2)&amp;LEFT(B429,4)&amp;LEFT(C429,2)&amp;SUBSTITUTE(UPPER(D429),"Ú","U"),"")</f>
        <v/>
      </c>
      <c r="G429" s="7" t="str">
        <f>IFERROR(INDEX(Modelos!$B$2:$B$301,MATCH($B429,Modelos!$C$2:$C$301,0))&amp;"","")</f>
        <v/>
      </c>
      <c r="H429" s="7" t="str">
        <f>IFERROR(INDEX(Modelos!$D$2:$D$301,MATCH($B429,Modelos!$C$2:$C$301,0))&amp;"","")</f>
        <v/>
      </c>
      <c r="I429" s="7" t="str">
        <f>IFERROR(INDEX(Modelos!$E$2:$E$301,MATCH($B429,Modelos!$C$2:$C$301,0))&amp;"","")</f>
        <v/>
      </c>
      <c r="J429" s="7" t="str">
        <f>IFERROR(INDEX(Modelos!$F$2:$F$301,MATCH($B429,Modelos!$C$2:$C$301,0))&amp;"","")</f>
        <v/>
      </c>
      <c r="K429" s="7" t="str">
        <f>IFERROR(INDEX(Modelos!$G$2:$G$301,MATCH($B429,Modelos!$C$2:$C$301,0))&amp;"","")</f>
        <v/>
      </c>
      <c r="L429" s="7" t="str">
        <f>IFERROR(INDEX(Diccionarios!$G$2:$G$201,MATCH($C429,Diccionarios!$H$2:$H$201,0))&amp;"","")</f>
        <v/>
      </c>
      <c r="M429" s="7" t="str">
        <f>IF(D429="","",D429&amp;"")</f>
        <v/>
      </c>
      <c r="N429" s="8" t="str">
        <f>IF($B429="","",IFERROR(INDEX(Modelos!$H$2:$H$301,MATCH($B429,Modelos!$C$2:$C$301,0)),""))</f>
        <v/>
      </c>
      <c r="O429" s="8" t="str">
        <f>IF($B429="","",IFERROR(INDEX(Modelos!$I$2:$I$301,MATCH($B429,Modelos!$C$2:$C$301,0)),""))</f>
        <v/>
      </c>
      <c r="P429" s="8" t="str">
        <f>IF($B429="","",IFERROR(INDEX(Modelos!$J$2:$J$301,MATCH($B429,Modelos!$C$2:$C$301,0)),""))</f>
        <v/>
      </c>
      <c r="Q429" s="7" t="str">
        <f>IFERROR(INDEX(Diccionarios!$B$2:$B$201,MATCH($A429,Diccionarios!$D$2:$D$201,0))&amp;"","")</f>
        <v/>
      </c>
      <c r="R429" s="7" t="str">
        <f>IFERROR(INDEX(Diccionarios!$C$2:$C$201,MATCH($A429,Diccionarios!$D$2:$D$201,0))&amp;"","")</f>
        <v/>
      </c>
      <c r="S429" s="7" t="str">
        <f>IFERROR(INDEX(Modelos!$K$2:$K$301,MATCH($B429,Modelos!$C$2:$C$301,0))&amp;"","")</f>
        <v/>
      </c>
      <c r="T429" s="7" t="str">
        <f>IFERROR(INDEX(Modelos!$L$2:$L$301,MATCH($B429,Modelos!$C$2:$C$301,0))&amp;"","")</f>
        <v/>
      </c>
    </row>
    <row r="430" spans="1:20" x14ac:dyDescent="0.25">
      <c r="A430" s="5"/>
      <c r="B430" s="5"/>
      <c r="C430" s="5"/>
      <c r="D430" s="6"/>
      <c r="E430" s="5"/>
      <c r="F430" s="7" t="str">
        <f>IF(AND(A430&lt;&gt;"",B430&lt;&gt;"",C430&lt;&gt;"",D430&lt;&gt;""),LEFT(A430,2)&amp;LEFT(B430,4)&amp;LEFT(C430,2)&amp;SUBSTITUTE(UPPER(D430),"Ú","U"),"")</f>
        <v/>
      </c>
      <c r="G430" s="7" t="str">
        <f>IFERROR(INDEX(Modelos!$B$2:$B$301,MATCH($B430,Modelos!$C$2:$C$301,0))&amp;"","")</f>
        <v/>
      </c>
      <c r="H430" s="7" t="str">
        <f>IFERROR(INDEX(Modelos!$D$2:$D$301,MATCH($B430,Modelos!$C$2:$C$301,0))&amp;"","")</f>
        <v/>
      </c>
      <c r="I430" s="7" t="str">
        <f>IFERROR(INDEX(Modelos!$E$2:$E$301,MATCH($B430,Modelos!$C$2:$C$301,0))&amp;"","")</f>
        <v/>
      </c>
      <c r="J430" s="7" t="str">
        <f>IFERROR(INDEX(Modelos!$F$2:$F$301,MATCH($B430,Modelos!$C$2:$C$301,0))&amp;"","")</f>
        <v/>
      </c>
      <c r="K430" s="7" t="str">
        <f>IFERROR(INDEX(Modelos!$G$2:$G$301,MATCH($B430,Modelos!$C$2:$C$301,0))&amp;"","")</f>
        <v/>
      </c>
      <c r="L430" s="7" t="str">
        <f>IFERROR(INDEX(Diccionarios!$G$2:$G$201,MATCH($C430,Diccionarios!$H$2:$H$201,0))&amp;"","")</f>
        <v/>
      </c>
      <c r="M430" s="7" t="str">
        <f>IF(D430="","",D430&amp;"")</f>
        <v/>
      </c>
      <c r="N430" s="8" t="str">
        <f>IF($B430="","",IFERROR(INDEX(Modelos!$H$2:$H$301,MATCH($B430,Modelos!$C$2:$C$301,0)),""))</f>
        <v/>
      </c>
      <c r="O430" s="8" t="str">
        <f>IF($B430="","",IFERROR(INDEX(Modelos!$I$2:$I$301,MATCH($B430,Modelos!$C$2:$C$301,0)),""))</f>
        <v/>
      </c>
      <c r="P430" s="8" t="str">
        <f>IF($B430="","",IFERROR(INDEX(Modelos!$J$2:$J$301,MATCH($B430,Modelos!$C$2:$C$301,0)),""))</f>
        <v/>
      </c>
      <c r="Q430" s="7" t="str">
        <f>IFERROR(INDEX(Diccionarios!$B$2:$B$201,MATCH($A430,Diccionarios!$D$2:$D$201,0))&amp;"","")</f>
        <v/>
      </c>
      <c r="R430" s="7" t="str">
        <f>IFERROR(INDEX(Diccionarios!$C$2:$C$201,MATCH($A430,Diccionarios!$D$2:$D$201,0))&amp;"","")</f>
        <v/>
      </c>
      <c r="S430" s="7" t="str">
        <f>IFERROR(INDEX(Modelos!$K$2:$K$301,MATCH($B430,Modelos!$C$2:$C$301,0))&amp;"","")</f>
        <v/>
      </c>
      <c r="T430" s="7" t="str">
        <f>IFERROR(INDEX(Modelos!$L$2:$L$301,MATCH($B430,Modelos!$C$2:$C$301,0))&amp;"","")</f>
        <v/>
      </c>
    </row>
    <row r="431" spans="1:20" x14ac:dyDescent="0.25">
      <c r="A431" s="5"/>
      <c r="B431" s="5"/>
      <c r="C431" s="5"/>
      <c r="D431" s="6"/>
      <c r="E431" s="5"/>
      <c r="F431" s="7" t="str">
        <f>IF(AND(A431&lt;&gt;"",B431&lt;&gt;"",C431&lt;&gt;"",D431&lt;&gt;""),LEFT(A431,2)&amp;LEFT(B431,4)&amp;LEFT(C431,2)&amp;SUBSTITUTE(UPPER(D431),"Ú","U"),"")</f>
        <v/>
      </c>
      <c r="G431" s="7" t="str">
        <f>IFERROR(INDEX(Modelos!$B$2:$B$301,MATCH($B431,Modelos!$C$2:$C$301,0))&amp;"","")</f>
        <v/>
      </c>
      <c r="H431" s="7" t="str">
        <f>IFERROR(INDEX(Modelos!$D$2:$D$301,MATCH($B431,Modelos!$C$2:$C$301,0))&amp;"","")</f>
        <v/>
      </c>
      <c r="I431" s="7" t="str">
        <f>IFERROR(INDEX(Modelos!$E$2:$E$301,MATCH($B431,Modelos!$C$2:$C$301,0))&amp;"","")</f>
        <v/>
      </c>
      <c r="J431" s="7" t="str">
        <f>IFERROR(INDEX(Modelos!$F$2:$F$301,MATCH($B431,Modelos!$C$2:$C$301,0))&amp;"","")</f>
        <v/>
      </c>
      <c r="K431" s="7" t="str">
        <f>IFERROR(INDEX(Modelos!$G$2:$G$301,MATCH($B431,Modelos!$C$2:$C$301,0))&amp;"","")</f>
        <v/>
      </c>
      <c r="L431" s="7" t="str">
        <f>IFERROR(INDEX(Diccionarios!$G$2:$G$201,MATCH($C431,Diccionarios!$H$2:$H$201,0))&amp;"","")</f>
        <v/>
      </c>
      <c r="M431" s="7" t="str">
        <f>IF(D431="","",D431&amp;"")</f>
        <v/>
      </c>
      <c r="N431" s="8" t="str">
        <f>IF($B431="","",IFERROR(INDEX(Modelos!$H$2:$H$301,MATCH($B431,Modelos!$C$2:$C$301,0)),""))</f>
        <v/>
      </c>
      <c r="O431" s="8" t="str">
        <f>IF($B431="","",IFERROR(INDEX(Modelos!$I$2:$I$301,MATCH($B431,Modelos!$C$2:$C$301,0)),""))</f>
        <v/>
      </c>
      <c r="P431" s="8" t="str">
        <f>IF($B431="","",IFERROR(INDEX(Modelos!$J$2:$J$301,MATCH($B431,Modelos!$C$2:$C$301,0)),""))</f>
        <v/>
      </c>
      <c r="Q431" s="7" t="str">
        <f>IFERROR(INDEX(Diccionarios!$B$2:$B$201,MATCH($A431,Diccionarios!$D$2:$D$201,0))&amp;"","")</f>
        <v/>
      </c>
      <c r="R431" s="7" t="str">
        <f>IFERROR(INDEX(Diccionarios!$C$2:$C$201,MATCH($A431,Diccionarios!$D$2:$D$201,0))&amp;"","")</f>
        <v/>
      </c>
      <c r="S431" s="7" t="str">
        <f>IFERROR(INDEX(Modelos!$K$2:$K$301,MATCH($B431,Modelos!$C$2:$C$301,0))&amp;"","")</f>
        <v/>
      </c>
      <c r="T431" s="7" t="str">
        <f>IFERROR(INDEX(Modelos!$L$2:$L$301,MATCH($B431,Modelos!$C$2:$C$301,0))&amp;"","")</f>
        <v/>
      </c>
    </row>
    <row r="432" spans="1:20" x14ac:dyDescent="0.25">
      <c r="A432" s="5"/>
      <c r="B432" s="5"/>
      <c r="C432" s="5"/>
      <c r="D432" s="6"/>
      <c r="E432" s="5"/>
      <c r="F432" s="7" t="str">
        <f>IF(AND(A432&lt;&gt;"",B432&lt;&gt;"",C432&lt;&gt;"",D432&lt;&gt;""),LEFT(A432,2)&amp;LEFT(B432,4)&amp;LEFT(C432,2)&amp;SUBSTITUTE(UPPER(D432),"Ú","U"),"")</f>
        <v/>
      </c>
      <c r="G432" s="7" t="str">
        <f>IFERROR(INDEX(Modelos!$B$2:$B$301,MATCH($B432,Modelos!$C$2:$C$301,0))&amp;"","")</f>
        <v/>
      </c>
      <c r="H432" s="7" t="str">
        <f>IFERROR(INDEX(Modelos!$D$2:$D$301,MATCH($B432,Modelos!$C$2:$C$301,0))&amp;"","")</f>
        <v/>
      </c>
      <c r="I432" s="7" t="str">
        <f>IFERROR(INDEX(Modelos!$E$2:$E$301,MATCH($B432,Modelos!$C$2:$C$301,0))&amp;"","")</f>
        <v/>
      </c>
      <c r="J432" s="7" t="str">
        <f>IFERROR(INDEX(Modelos!$F$2:$F$301,MATCH($B432,Modelos!$C$2:$C$301,0))&amp;"","")</f>
        <v/>
      </c>
      <c r="K432" s="7" t="str">
        <f>IFERROR(INDEX(Modelos!$G$2:$G$301,MATCH($B432,Modelos!$C$2:$C$301,0))&amp;"","")</f>
        <v/>
      </c>
      <c r="L432" s="7" t="str">
        <f>IFERROR(INDEX(Diccionarios!$G$2:$G$201,MATCH($C432,Diccionarios!$H$2:$H$201,0))&amp;"","")</f>
        <v/>
      </c>
      <c r="M432" s="7" t="str">
        <f>IF(D432="","",D432&amp;"")</f>
        <v/>
      </c>
      <c r="N432" s="8" t="str">
        <f>IF($B432="","",IFERROR(INDEX(Modelos!$H$2:$H$301,MATCH($B432,Modelos!$C$2:$C$301,0)),""))</f>
        <v/>
      </c>
      <c r="O432" s="8" t="str">
        <f>IF($B432="","",IFERROR(INDEX(Modelos!$I$2:$I$301,MATCH($B432,Modelos!$C$2:$C$301,0)),""))</f>
        <v/>
      </c>
      <c r="P432" s="8" t="str">
        <f>IF($B432="","",IFERROR(INDEX(Modelos!$J$2:$J$301,MATCH($B432,Modelos!$C$2:$C$301,0)),""))</f>
        <v/>
      </c>
      <c r="Q432" s="7" t="str">
        <f>IFERROR(INDEX(Diccionarios!$B$2:$B$201,MATCH($A432,Diccionarios!$D$2:$D$201,0))&amp;"","")</f>
        <v/>
      </c>
      <c r="R432" s="7" t="str">
        <f>IFERROR(INDEX(Diccionarios!$C$2:$C$201,MATCH($A432,Diccionarios!$D$2:$D$201,0))&amp;"","")</f>
        <v/>
      </c>
      <c r="S432" s="7" t="str">
        <f>IFERROR(INDEX(Modelos!$K$2:$K$301,MATCH($B432,Modelos!$C$2:$C$301,0))&amp;"","")</f>
        <v/>
      </c>
      <c r="T432" s="7" t="str">
        <f>IFERROR(INDEX(Modelos!$L$2:$L$301,MATCH($B432,Modelos!$C$2:$C$301,0))&amp;"","")</f>
        <v/>
      </c>
    </row>
    <row r="433" spans="1:20" x14ac:dyDescent="0.25">
      <c r="A433" s="5"/>
      <c r="B433" s="5"/>
      <c r="C433" s="5"/>
      <c r="D433" s="6"/>
      <c r="E433" s="5"/>
      <c r="F433" s="7" t="str">
        <f>IF(AND(A433&lt;&gt;"",B433&lt;&gt;"",C433&lt;&gt;"",D433&lt;&gt;""),LEFT(A433,2)&amp;LEFT(B433,4)&amp;LEFT(C433,2)&amp;SUBSTITUTE(UPPER(D433),"Ú","U"),"")</f>
        <v/>
      </c>
      <c r="G433" s="7" t="str">
        <f>IFERROR(INDEX(Modelos!$B$2:$B$301,MATCH($B433,Modelos!$C$2:$C$301,0))&amp;"","")</f>
        <v/>
      </c>
      <c r="H433" s="7" t="str">
        <f>IFERROR(INDEX(Modelos!$D$2:$D$301,MATCH($B433,Modelos!$C$2:$C$301,0))&amp;"","")</f>
        <v/>
      </c>
      <c r="I433" s="7" t="str">
        <f>IFERROR(INDEX(Modelos!$E$2:$E$301,MATCH($B433,Modelos!$C$2:$C$301,0))&amp;"","")</f>
        <v/>
      </c>
      <c r="J433" s="7" t="str">
        <f>IFERROR(INDEX(Modelos!$F$2:$F$301,MATCH($B433,Modelos!$C$2:$C$301,0))&amp;"","")</f>
        <v/>
      </c>
      <c r="K433" s="7" t="str">
        <f>IFERROR(INDEX(Modelos!$G$2:$G$301,MATCH($B433,Modelos!$C$2:$C$301,0))&amp;"","")</f>
        <v/>
      </c>
      <c r="L433" s="7" t="str">
        <f>IFERROR(INDEX(Diccionarios!$G$2:$G$201,MATCH($C433,Diccionarios!$H$2:$H$201,0))&amp;"","")</f>
        <v/>
      </c>
      <c r="M433" s="7" t="str">
        <f>IF(D433="","",D433&amp;"")</f>
        <v/>
      </c>
      <c r="N433" s="8" t="str">
        <f>IF($B433="","",IFERROR(INDEX(Modelos!$H$2:$H$301,MATCH($B433,Modelos!$C$2:$C$301,0)),""))</f>
        <v/>
      </c>
      <c r="O433" s="8" t="str">
        <f>IF($B433="","",IFERROR(INDEX(Modelos!$I$2:$I$301,MATCH($B433,Modelos!$C$2:$C$301,0)),""))</f>
        <v/>
      </c>
      <c r="P433" s="8" t="str">
        <f>IF($B433="","",IFERROR(INDEX(Modelos!$J$2:$J$301,MATCH($B433,Modelos!$C$2:$C$301,0)),""))</f>
        <v/>
      </c>
      <c r="Q433" s="7" t="str">
        <f>IFERROR(INDEX(Diccionarios!$B$2:$B$201,MATCH($A433,Diccionarios!$D$2:$D$201,0))&amp;"","")</f>
        <v/>
      </c>
      <c r="R433" s="7" t="str">
        <f>IFERROR(INDEX(Diccionarios!$C$2:$C$201,MATCH($A433,Diccionarios!$D$2:$D$201,0))&amp;"","")</f>
        <v/>
      </c>
      <c r="S433" s="7" t="str">
        <f>IFERROR(INDEX(Modelos!$K$2:$K$301,MATCH($B433,Modelos!$C$2:$C$301,0))&amp;"","")</f>
        <v/>
      </c>
      <c r="T433" s="7" t="str">
        <f>IFERROR(INDEX(Modelos!$L$2:$L$301,MATCH($B433,Modelos!$C$2:$C$301,0))&amp;"","")</f>
        <v/>
      </c>
    </row>
    <row r="434" spans="1:20" x14ac:dyDescent="0.25">
      <c r="A434" s="5"/>
      <c r="B434" s="5"/>
      <c r="C434" s="5"/>
      <c r="D434" s="6"/>
      <c r="E434" s="5"/>
      <c r="F434" s="7" t="str">
        <f>IF(AND(A434&lt;&gt;"",B434&lt;&gt;"",C434&lt;&gt;"",D434&lt;&gt;""),LEFT(A434,2)&amp;LEFT(B434,4)&amp;LEFT(C434,2)&amp;SUBSTITUTE(UPPER(D434),"Ú","U"),"")</f>
        <v/>
      </c>
      <c r="G434" s="7" t="str">
        <f>IFERROR(INDEX(Modelos!$B$2:$B$301,MATCH($B434,Modelos!$C$2:$C$301,0))&amp;"","")</f>
        <v/>
      </c>
      <c r="H434" s="7" t="str">
        <f>IFERROR(INDEX(Modelos!$D$2:$D$301,MATCH($B434,Modelos!$C$2:$C$301,0))&amp;"","")</f>
        <v/>
      </c>
      <c r="I434" s="7" t="str">
        <f>IFERROR(INDEX(Modelos!$E$2:$E$301,MATCH($B434,Modelos!$C$2:$C$301,0))&amp;"","")</f>
        <v/>
      </c>
      <c r="J434" s="7" t="str">
        <f>IFERROR(INDEX(Modelos!$F$2:$F$301,MATCH($B434,Modelos!$C$2:$C$301,0))&amp;"","")</f>
        <v/>
      </c>
      <c r="K434" s="7" t="str">
        <f>IFERROR(INDEX(Modelos!$G$2:$G$301,MATCH($B434,Modelos!$C$2:$C$301,0))&amp;"","")</f>
        <v/>
      </c>
      <c r="L434" s="7" t="str">
        <f>IFERROR(INDEX(Diccionarios!$G$2:$G$201,MATCH($C434,Diccionarios!$H$2:$H$201,0))&amp;"","")</f>
        <v/>
      </c>
      <c r="M434" s="7" t="str">
        <f>IF(D434="","",D434&amp;"")</f>
        <v/>
      </c>
      <c r="N434" s="8" t="str">
        <f>IF($B434="","",IFERROR(INDEX(Modelos!$H$2:$H$301,MATCH($B434,Modelos!$C$2:$C$301,0)),""))</f>
        <v/>
      </c>
      <c r="O434" s="8" t="str">
        <f>IF($B434="","",IFERROR(INDEX(Modelos!$I$2:$I$301,MATCH($B434,Modelos!$C$2:$C$301,0)),""))</f>
        <v/>
      </c>
      <c r="P434" s="8" t="str">
        <f>IF($B434="","",IFERROR(INDEX(Modelos!$J$2:$J$301,MATCH($B434,Modelos!$C$2:$C$301,0)),""))</f>
        <v/>
      </c>
      <c r="Q434" s="7" t="str">
        <f>IFERROR(INDEX(Diccionarios!$B$2:$B$201,MATCH($A434,Diccionarios!$D$2:$D$201,0))&amp;"","")</f>
        <v/>
      </c>
      <c r="R434" s="7" t="str">
        <f>IFERROR(INDEX(Diccionarios!$C$2:$C$201,MATCH($A434,Diccionarios!$D$2:$D$201,0))&amp;"","")</f>
        <v/>
      </c>
      <c r="S434" s="7" t="str">
        <f>IFERROR(INDEX(Modelos!$K$2:$K$301,MATCH($B434,Modelos!$C$2:$C$301,0))&amp;"","")</f>
        <v/>
      </c>
      <c r="T434" s="7" t="str">
        <f>IFERROR(INDEX(Modelos!$L$2:$L$301,MATCH($B434,Modelos!$C$2:$C$301,0))&amp;"","")</f>
        <v/>
      </c>
    </row>
    <row r="435" spans="1:20" x14ac:dyDescent="0.25">
      <c r="A435" s="5"/>
      <c r="B435" s="5"/>
      <c r="C435" s="5"/>
      <c r="D435" s="6"/>
      <c r="E435" s="5"/>
      <c r="F435" s="7" t="str">
        <f>IF(AND(A435&lt;&gt;"",B435&lt;&gt;"",C435&lt;&gt;"",D435&lt;&gt;""),LEFT(A435,2)&amp;LEFT(B435,4)&amp;LEFT(C435,2)&amp;SUBSTITUTE(UPPER(D435),"Ú","U"),"")</f>
        <v/>
      </c>
      <c r="G435" s="7" t="str">
        <f>IFERROR(INDEX(Modelos!$B$2:$B$301,MATCH($B435,Modelos!$C$2:$C$301,0))&amp;"","")</f>
        <v/>
      </c>
      <c r="H435" s="7" t="str">
        <f>IFERROR(INDEX(Modelos!$D$2:$D$301,MATCH($B435,Modelos!$C$2:$C$301,0))&amp;"","")</f>
        <v/>
      </c>
      <c r="I435" s="7" t="str">
        <f>IFERROR(INDEX(Modelos!$E$2:$E$301,MATCH($B435,Modelos!$C$2:$C$301,0))&amp;"","")</f>
        <v/>
      </c>
      <c r="J435" s="7" t="str">
        <f>IFERROR(INDEX(Modelos!$F$2:$F$301,MATCH($B435,Modelos!$C$2:$C$301,0))&amp;"","")</f>
        <v/>
      </c>
      <c r="K435" s="7" t="str">
        <f>IFERROR(INDEX(Modelos!$G$2:$G$301,MATCH($B435,Modelos!$C$2:$C$301,0))&amp;"","")</f>
        <v/>
      </c>
      <c r="L435" s="7" t="str">
        <f>IFERROR(INDEX(Diccionarios!$G$2:$G$201,MATCH($C435,Diccionarios!$H$2:$H$201,0))&amp;"","")</f>
        <v/>
      </c>
      <c r="M435" s="7" t="str">
        <f>IF(D435="","",D435&amp;"")</f>
        <v/>
      </c>
      <c r="N435" s="8" t="str">
        <f>IF($B435="","",IFERROR(INDEX(Modelos!$H$2:$H$301,MATCH($B435,Modelos!$C$2:$C$301,0)),""))</f>
        <v/>
      </c>
      <c r="O435" s="8" t="str">
        <f>IF($B435="","",IFERROR(INDEX(Modelos!$I$2:$I$301,MATCH($B435,Modelos!$C$2:$C$301,0)),""))</f>
        <v/>
      </c>
      <c r="P435" s="8" t="str">
        <f>IF($B435="","",IFERROR(INDEX(Modelos!$J$2:$J$301,MATCH($B435,Modelos!$C$2:$C$301,0)),""))</f>
        <v/>
      </c>
      <c r="Q435" s="7" t="str">
        <f>IFERROR(INDEX(Diccionarios!$B$2:$B$201,MATCH($A435,Diccionarios!$D$2:$D$201,0))&amp;"","")</f>
        <v/>
      </c>
      <c r="R435" s="7" t="str">
        <f>IFERROR(INDEX(Diccionarios!$C$2:$C$201,MATCH($A435,Diccionarios!$D$2:$D$201,0))&amp;"","")</f>
        <v/>
      </c>
      <c r="S435" s="7" t="str">
        <f>IFERROR(INDEX(Modelos!$K$2:$K$301,MATCH($B435,Modelos!$C$2:$C$301,0))&amp;"","")</f>
        <v/>
      </c>
      <c r="T435" s="7" t="str">
        <f>IFERROR(INDEX(Modelos!$L$2:$L$301,MATCH($B435,Modelos!$C$2:$C$301,0))&amp;"","")</f>
        <v/>
      </c>
    </row>
    <row r="436" spans="1:20" x14ac:dyDescent="0.25">
      <c r="A436" s="5"/>
      <c r="B436" s="5"/>
      <c r="C436" s="5"/>
      <c r="D436" s="6"/>
      <c r="E436" s="5"/>
      <c r="F436" s="7" t="str">
        <f>IF(AND(A436&lt;&gt;"",B436&lt;&gt;"",C436&lt;&gt;"",D436&lt;&gt;""),LEFT(A436,2)&amp;LEFT(B436,4)&amp;LEFT(C436,2)&amp;SUBSTITUTE(UPPER(D436),"Ú","U"),"")</f>
        <v/>
      </c>
      <c r="G436" s="7" t="str">
        <f>IFERROR(INDEX(Modelos!$B$2:$B$301,MATCH($B436,Modelos!$C$2:$C$301,0))&amp;"","")</f>
        <v/>
      </c>
      <c r="H436" s="7" t="str">
        <f>IFERROR(INDEX(Modelos!$D$2:$D$301,MATCH($B436,Modelos!$C$2:$C$301,0))&amp;"","")</f>
        <v/>
      </c>
      <c r="I436" s="7" t="str">
        <f>IFERROR(INDEX(Modelos!$E$2:$E$301,MATCH($B436,Modelos!$C$2:$C$301,0))&amp;"","")</f>
        <v/>
      </c>
      <c r="J436" s="7" t="str">
        <f>IFERROR(INDEX(Modelos!$F$2:$F$301,MATCH($B436,Modelos!$C$2:$C$301,0))&amp;"","")</f>
        <v/>
      </c>
      <c r="K436" s="7" t="str">
        <f>IFERROR(INDEX(Modelos!$G$2:$G$301,MATCH($B436,Modelos!$C$2:$C$301,0))&amp;"","")</f>
        <v/>
      </c>
      <c r="L436" s="7" t="str">
        <f>IFERROR(INDEX(Diccionarios!$G$2:$G$201,MATCH($C436,Diccionarios!$H$2:$H$201,0))&amp;"","")</f>
        <v/>
      </c>
      <c r="M436" s="7" t="str">
        <f>IF(D436="","",D436&amp;"")</f>
        <v/>
      </c>
      <c r="N436" s="8" t="str">
        <f>IF($B436="","",IFERROR(INDEX(Modelos!$H$2:$H$301,MATCH($B436,Modelos!$C$2:$C$301,0)),""))</f>
        <v/>
      </c>
      <c r="O436" s="8" t="str">
        <f>IF($B436="","",IFERROR(INDEX(Modelos!$I$2:$I$301,MATCH($B436,Modelos!$C$2:$C$301,0)),""))</f>
        <v/>
      </c>
      <c r="P436" s="8" t="str">
        <f>IF($B436="","",IFERROR(INDEX(Modelos!$J$2:$J$301,MATCH($B436,Modelos!$C$2:$C$301,0)),""))</f>
        <v/>
      </c>
      <c r="Q436" s="7" t="str">
        <f>IFERROR(INDEX(Diccionarios!$B$2:$B$201,MATCH($A436,Diccionarios!$D$2:$D$201,0))&amp;"","")</f>
        <v/>
      </c>
      <c r="R436" s="7" t="str">
        <f>IFERROR(INDEX(Diccionarios!$C$2:$C$201,MATCH($A436,Diccionarios!$D$2:$D$201,0))&amp;"","")</f>
        <v/>
      </c>
      <c r="S436" s="7" t="str">
        <f>IFERROR(INDEX(Modelos!$K$2:$K$301,MATCH($B436,Modelos!$C$2:$C$301,0))&amp;"","")</f>
        <v/>
      </c>
      <c r="T436" s="7" t="str">
        <f>IFERROR(INDEX(Modelos!$L$2:$L$301,MATCH($B436,Modelos!$C$2:$C$301,0))&amp;"","")</f>
        <v/>
      </c>
    </row>
    <row r="437" spans="1:20" x14ac:dyDescent="0.25">
      <c r="A437" s="5"/>
      <c r="B437" s="5"/>
      <c r="C437" s="5"/>
      <c r="D437" s="6"/>
      <c r="E437" s="5"/>
      <c r="F437" s="7" t="str">
        <f>IF(AND(A437&lt;&gt;"",B437&lt;&gt;"",C437&lt;&gt;"",D437&lt;&gt;""),LEFT(A437,2)&amp;LEFT(B437,4)&amp;LEFT(C437,2)&amp;SUBSTITUTE(UPPER(D437),"Ú","U"),"")</f>
        <v/>
      </c>
      <c r="G437" s="7" t="str">
        <f>IFERROR(INDEX(Modelos!$B$2:$B$301,MATCH($B437,Modelos!$C$2:$C$301,0))&amp;"","")</f>
        <v/>
      </c>
      <c r="H437" s="7" t="str">
        <f>IFERROR(INDEX(Modelos!$D$2:$D$301,MATCH($B437,Modelos!$C$2:$C$301,0))&amp;"","")</f>
        <v/>
      </c>
      <c r="I437" s="7" t="str">
        <f>IFERROR(INDEX(Modelos!$E$2:$E$301,MATCH($B437,Modelos!$C$2:$C$301,0))&amp;"","")</f>
        <v/>
      </c>
      <c r="J437" s="7" t="str">
        <f>IFERROR(INDEX(Modelos!$F$2:$F$301,MATCH($B437,Modelos!$C$2:$C$301,0))&amp;"","")</f>
        <v/>
      </c>
      <c r="K437" s="7" t="str">
        <f>IFERROR(INDEX(Modelos!$G$2:$G$301,MATCH($B437,Modelos!$C$2:$C$301,0))&amp;"","")</f>
        <v/>
      </c>
      <c r="L437" s="7" t="str">
        <f>IFERROR(INDEX(Diccionarios!$G$2:$G$201,MATCH($C437,Diccionarios!$H$2:$H$201,0))&amp;"","")</f>
        <v/>
      </c>
      <c r="M437" s="7" t="str">
        <f>IF(D437="","",D437&amp;"")</f>
        <v/>
      </c>
      <c r="N437" s="8" t="str">
        <f>IF($B437="","",IFERROR(INDEX(Modelos!$H$2:$H$301,MATCH($B437,Modelos!$C$2:$C$301,0)),""))</f>
        <v/>
      </c>
      <c r="O437" s="8" t="str">
        <f>IF($B437="","",IFERROR(INDEX(Modelos!$I$2:$I$301,MATCH($B437,Modelos!$C$2:$C$301,0)),""))</f>
        <v/>
      </c>
      <c r="P437" s="8" t="str">
        <f>IF($B437="","",IFERROR(INDEX(Modelos!$J$2:$J$301,MATCH($B437,Modelos!$C$2:$C$301,0)),""))</f>
        <v/>
      </c>
      <c r="Q437" s="7" t="str">
        <f>IFERROR(INDEX(Diccionarios!$B$2:$B$201,MATCH($A437,Diccionarios!$D$2:$D$201,0))&amp;"","")</f>
        <v/>
      </c>
      <c r="R437" s="7" t="str">
        <f>IFERROR(INDEX(Diccionarios!$C$2:$C$201,MATCH($A437,Diccionarios!$D$2:$D$201,0))&amp;"","")</f>
        <v/>
      </c>
      <c r="S437" s="7" t="str">
        <f>IFERROR(INDEX(Modelos!$K$2:$K$301,MATCH($B437,Modelos!$C$2:$C$301,0))&amp;"","")</f>
        <v/>
      </c>
      <c r="T437" s="7" t="str">
        <f>IFERROR(INDEX(Modelos!$L$2:$L$301,MATCH($B437,Modelos!$C$2:$C$301,0))&amp;"","")</f>
        <v/>
      </c>
    </row>
    <row r="438" spans="1:20" x14ac:dyDescent="0.25">
      <c r="A438" s="5"/>
      <c r="B438" s="5"/>
      <c r="C438" s="5"/>
      <c r="D438" s="6"/>
      <c r="E438" s="5"/>
      <c r="F438" s="7" t="str">
        <f>IF(AND(A438&lt;&gt;"",B438&lt;&gt;"",C438&lt;&gt;"",D438&lt;&gt;""),LEFT(A438,2)&amp;LEFT(B438,4)&amp;LEFT(C438,2)&amp;SUBSTITUTE(UPPER(D438),"Ú","U"),"")</f>
        <v/>
      </c>
      <c r="G438" s="7" t="str">
        <f>IFERROR(INDEX(Modelos!$B$2:$B$301,MATCH($B438,Modelos!$C$2:$C$301,0))&amp;"","")</f>
        <v/>
      </c>
      <c r="H438" s="7" t="str">
        <f>IFERROR(INDEX(Modelos!$D$2:$D$301,MATCH($B438,Modelos!$C$2:$C$301,0))&amp;"","")</f>
        <v/>
      </c>
      <c r="I438" s="7" t="str">
        <f>IFERROR(INDEX(Modelos!$E$2:$E$301,MATCH($B438,Modelos!$C$2:$C$301,0))&amp;"","")</f>
        <v/>
      </c>
      <c r="J438" s="7" t="str">
        <f>IFERROR(INDEX(Modelos!$F$2:$F$301,MATCH($B438,Modelos!$C$2:$C$301,0))&amp;"","")</f>
        <v/>
      </c>
      <c r="K438" s="7" t="str">
        <f>IFERROR(INDEX(Modelos!$G$2:$G$301,MATCH($B438,Modelos!$C$2:$C$301,0))&amp;"","")</f>
        <v/>
      </c>
      <c r="L438" s="7" t="str">
        <f>IFERROR(INDEX(Diccionarios!$G$2:$G$201,MATCH($C438,Diccionarios!$H$2:$H$201,0))&amp;"","")</f>
        <v/>
      </c>
      <c r="M438" s="7" t="str">
        <f>IF(D438="","",D438&amp;"")</f>
        <v/>
      </c>
      <c r="N438" s="8" t="str">
        <f>IF($B438="","",IFERROR(INDEX(Modelos!$H$2:$H$301,MATCH($B438,Modelos!$C$2:$C$301,0)),""))</f>
        <v/>
      </c>
      <c r="O438" s="8" t="str">
        <f>IF($B438="","",IFERROR(INDEX(Modelos!$I$2:$I$301,MATCH($B438,Modelos!$C$2:$C$301,0)),""))</f>
        <v/>
      </c>
      <c r="P438" s="8" t="str">
        <f>IF($B438="","",IFERROR(INDEX(Modelos!$J$2:$J$301,MATCH($B438,Modelos!$C$2:$C$301,0)),""))</f>
        <v/>
      </c>
      <c r="Q438" s="7" t="str">
        <f>IFERROR(INDEX(Diccionarios!$B$2:$B$201,MATCH($A438,Diccionarios!$D$2:$D$201,0))&amp;"","")</f>
        <v/>
      </c>
      <c r="R438" s="7" t="str">
        <f>IFERROR(INDEX(Diccionarios!$C$2:$C$201,MATCH($A438,Diccionarios!$D$2:$D$201,0))&amp;"","")</f>
        <v/>
      </c>
      <c r="S438" s="7" t="str">
        <f>IFERROR(INDEX(Modelos!$K$2:$K$301,MATCH($B438,Modelos!$C$2:$C$301,0))&amp;"","")</f>
        <v/>
      </c>
      <c r="T438" s="7" t="str">
        <f>IFERROR(INDEX(Modelos!$L$2:$L$301,MATCH($B438,Modelos!$C$2:$C$301,0))&amp;"","")</f>
        <v/>
      </c>
    </row>
    <row r="439" spans="1:20" x14ac:dyDescent="0.25">
      <c r="A439" s="5"/>
      <c r="B439" s="5"/>
      <c r="C439" s="5"/>
      <c r="D439" s="6"/>
      <c r="E439" s="5"/>
      <c r="F439" s="7" t="str">
        <f>IF(AND(A439&lt;&gt;"",B439&lt;&gt;"",C439&lt;&gt;"",D439&lt;&gt;""),LEFT(A439,2)&amp;LEFT(B439,4)&amp;LEFT(C439,2)&amp;SUBSTITUTE(UPPER(D439),"Ú","U"),"")</f>
        <v/>
      </c>
      <c r="G439" s="7" t="str">
        <f>IFERROR(INDEX(Modelos!$B$2:$B$301,MATCH($B439,Modelos!$C$2:$C$301,0))&amp;"","")</f>
        <v/>
      </c>
      <c r="H439" s="7" t="str">
        <f>IFERROR(INDEX(Modelos!$D$2:$D$301,MATCH($B439,Modelos!$C$2:$C$301,0))&amp;"","")</f>
        <v/>
      </c>
      <c r="I439" s="7" t="str">
        <f>IFERROR(INDEX(Modelos!$E$2:$E$301,MATCH($B439,Modelos!$C$2:$C$301,0))&amp;"","")</f>
        <v/>
      </c>
      <c r="J439" s="7" t="str">
        <f>IFERROR(INDEX(Modelos!$F$2:$F$301,MATCH($B439,Modelos!$C$2:$C$301,0))&amp;"","")</f>
        <v/>
      </c>
      <c r="K439" s="7" t="str">
        <f>IFERROR(INDEX(Modelos!$G$2:$G$301,MATCH($B439,Modelos!$C$2:$C$301,0))&amp;"","")</f>
        <v/>
      </c>
      <c r="L439" s="7" t="str">
        <f>IFERROR(INDEX(Diccionarios!$G$2:$G$201,MATCH($C439,Diccionarios!$H$2:$H$201,0))&amp;"","")</f>
        <v/>
      </c>
      <c r="M439" s="7" t="str">
        <f>IF(D439="","",D439&amp;"")</f>
        <v/>
      </c>
      <c r="N439" s="8" t="str">
        <f>IF($B439="","",IFERROR(INDEX(Modelos!$H$2:$H$301,MATCH($B439,Modelos!$C$2:$C$301,0)),""))</f>
        <v/>
      </c>
      <c r="O439" s="8" t="str">
        <f>IF($B439="","",IFERROR(INDEX(Modelos!$I$2:$I$301,MATCH($B439,Modelos!$C$2:$C$301,0)),""))</f>
        <v/>
      </c>
      <c r="P439" s="8" t="str">
        <f>IF($B439="","",IFERROR(INDEX(Modelos!$J$2:$J$301,MATCH($B439,Modelos!$C$2:$C$301,0)),""))</f>
        <v/>
      </c>
      <c r="Q439" s="7" t="str">
        <f>IFERROR(INDEX(Diccionarios!$B$2:$B$201,MATCH($A439,Diccionarios!$D$2:$D$201,0))&amp;"","")</f>
        <v/>
      </c>
      <c r="R439" s="7" t="str">
        <f>IFERROR(INDEX(Diccionarios!$C$2:$C$201,MATCH($A439,Diccionarios!$D$2:$D$201,0))&amp;"","")</f>
        <v/>
      </c>
      <c r="S439" s="7" t="str">
        <f>IFERROR(INDEX(Modelos!$K$2:$K$301,MATCH($B439,Modelos!$C$2:$C$301,0))&amp;"","")</f>
        <v/>
      </c>
      <c r="T439" s="7" t="str">
        <f>IFERROR(INDEX(Modelos!$L$2:$L$301,MATCH($B439,Modelos!$C$2:$C$301,0))&amp;"","")</f>
        <v/>
      </c>
    </row>
    <row r="440" spans="1:20" x14ac:dyDescent="0.25">
      <c r="A440" s="5"/>
      <c r="B440" s="5"/>
      <c r="C440" s="5"/>
      <c r="D440" s="6"/>
      <c r="E440" s="5"/>
      <c r="F440" s="7" t="str">
        <f>IF(AND(A440&lt;&gt;"",B440&lt;&gt;"",C440&lt;&gt;"",D440&lt;&gt;""),LEFT(A440,2)&amp;LEFT(B440,4)&amp;LEFT(C440,2)&amp;SUBSTITUTE(UPPER(D440),"Ú","U"),"")</f>
        <v/>
      </c>
      <c r="G440" s="7" t="str">
        <f>IFERROR(INDEX(Modelos!$B$2:$B$301,MATCH($B440,Modelos!$C$2:$C$301,0))&amp;"","")</f>
        <v/>
      </c>
      <c r="H440" s="7" t="str">
        <f>IFERROR(INDEX(Modelos!$D$2:$D$301,MATCH($B440,Modelos!$C$2:$C$301,0))&amp;"","")</f>
        <v/>
      </c>
      <c r="I440" s="7" t="str">
        <f>IFERROR(INDEX(Modelos!$E$2:$E$301,MATCH($B440,Modelos!$C$2:$C$301,0))&amp;"","")</f>
        <v/>
      </c>
      <c r="J440" s="7" t="str">
        <f>IFERROR(INDEX(Modelos!$F$2:$F$301,MATCH($B440,Modelos!$C$2:$C$301,0))&amp;"","")</f>
        <v/>
      </c>
      <c r="K440" s="7" t="str">
        <f>IFERROR(INDEX(Modelos!$G$2:$G$301,MATCH($B440,Modelos!$C$2:$C$301,0))&amp;"","")</f>
        <v/>
      </c>
      <c r="L440" s="7" t="str">
        <f>IFERROR(INDEX(Diccionarios!$G$2:$G$201,MATCH($C440,Diccionarios!$H$2:$H$201,0))&amp;"","")</f>
        <v/>
      </c>
      <c r="M440" s="7" t="str">
        <f>IF(D440="","",D440&amp;"")</f>
        <v/>
      </c>
      <c r="N440" s="8" t="str">
        <f>IF($B440="","",IFERROR(INDEX(Modelos!$H$2:$H$301,MATCH($B440,Modelos!$C$2:$C$301,0)),""))</f>
        <v/>
      </c>
      <c r="O440" s="8" t="str">
        <f>IF($B440="","",IFERROR(INDEX(Modelos!$I$2:$I$301,MATCH($B440,Modelos!$C$2:$C$301,0)),""))</f>
        <v/>
      </c>
      <c r="P440" s="8" t="str">
        <f>IF($B440="","",IFERROR(INDEX(Modelos!$J$2:$J$301,MATCH($B440,Modelos!$C$2:$C$301,0)),""))</f>
        <v/>
      </c>
      <c r="Q440" s="7" t="str">
        <f>IFERROR(INDEX(Diccionarios!$B$2:$B$201,MATCH($A440,Diccionarios!$D$2:$D$201,0))&amp;"","")</f>
        <v/>
      </c>
      <c r="R440" s="7" t="str">
        <f>IFERROR(INDEX(Diccionarios!$C$2:$C$201,MATCH($A440,Diccionarios!$D$2:$D$201,0))&amp;"","")</f>
        <v/>
      </c>
      <c r="S440" s="7" t="str">
        <f>IFERROR(INDEX(Modelos!$K$2:$K$301,MATCH($B440,Modelos!$C$2:$C$301,0))&amp;"","")</f>
        <v/>
      </c>
      <c r="T440" s="7" t="str">
        <f>IFERROR(INDEX(Modelos!$L$2:$L$301,MATCH($B440,Modelos!$C$2:$C$301,0))&amp;"","")</f>
        <v/>
      </c>
    </row>
    <row r="441" spans="1:20" x14ac:dyDescent="0.25">
      <c r="A441" s="5"/>
      <c r="B441" s="5"/>
      <c r="C441" s="5"/>
      <c r="D441" s="6"/>
      <c r="E441" s="5"/>
      <c r="F441" s="7" t="str">
        <f>IF(AND(A441&lt;&gt;"",B441&lt;&gt;"",C441&lt;&gt;"",D441&lt;&gt;""),LEFT(A441,2)&amp;LEFT(B441,4)&amp;LEFT(C441,2)&amp;SUBSTITUTE(UPPER(D441),"Ú","U"),"")</f>
        <v/>
      </c>
      <c r="G441" s="7" t="str">
        <f>IFERROR(INDEX(Modelos!$B$2:$B$301,MATCH($B441,Modelos!$C$2:$C$301,0))&amp;"","")</f>
        <v/>
      </c>
      <c r="H441" s="7" t="str">
        <f>IFERROR(INDEX(Modelos!$D$2:$D$301,MATCH($B441,Modelos!$C$2:$C$301,0))&amp;"","")</f>
        <v/>
      </c>
      <c r="I441" s="7" t="str">
        <f>IFERROR(INDEX(Modelos!$E$2:$E$301,MATCH($B441,Modelos!$C$2:$C$301,0))&amp;"","")</f>
        <v/>
      </c>
      <c r="J441" s="7" t="str">
        <f>IFERROR(INDEX(Modelos!$F$2:$F$301,MATCH($B441,Modelos!$C$2:$C$301,0))&amp;"","")</f>
        <v/>
      </c>
      <c r="K441" s="7" t="str">
        <f>IFERROR(INDEX(Modelos!$G$2:$G$301,MATCH($B441,Modelos!$C$2:$C$301,0))&amp;"","")</f>
        <v/>
      </c>
      <c r="L441" s="7" t="str">
        <f>IFERROR(INDEX(Diccionarios!$G$2:$G$201,MATCH($C441,Diccionarios!$H$2:$H$201,0))&amp;"","")</f>
        <v/>
      </c>
      <c r="M441" s="7" t="str">
        <f>IF(D441="","",D441&amp;"")</f>
        <v/>
      </c>
      <c r="N441" s="8" t="str">
        <f>IF($B441="","",IFERROR(INDEX(Modelos!$H$2:$H$301,MATCH($B441,Modelos!$C$2:$C$301,0)),""))</f>
        <v/>
      </c>
      <c r="O441" s="8" t="str">
        <f>IF($B441="","",IFERROR(INDEX(Modelos!$I$2:$I$301,MATCH($B441,Modelos!$C$2:$C$301,0)),""))</f>
        <v/>
      </c>
      <c r="P441" s="8" t="str">
        <f>IF($B441="","",IFERROR(INDEX(Modelos!$J$2:$J$301,MATCH($B441,Modelos!$C$2:$C$301,0)),""))</f>
        <v/>
      </c>
      <c r="Q441" s="7" t="str">
        <f>IFERROR(INDEX(Diccionarios!$B$2:$B$201,MATCH($A441,Diccionarios!$D$2:$D$201,0))&amp;"","")</f>
        <v/>
      </c>
      <c r="R441" s="7" t="str">
        <f>IFERROR(INDEX(Diccionarios!$C$2:$C$201,MATCH($A441,Diccionarios!$D$2:$D$201,0))&amp;"","")</f>
        <v/>
      </c>
      <c r="S441" s="7" t="str">
        <f>IFERROR(INDEX(Modelos!$K$2:$K$301,MATCH($B441,Modelos!$C$2:$C$301,0))&amp;"","")</f>
        <v/>
      </c>
      <c r="T441" s="7" t="str">
        <f>IFERROR(INDEX(Modelos!$L$2:$L$301,MATCH($B441,Modelos!$C$2:$C$301,0))&amp;"","")</f>
        <v/>
      </c>
    </row>
    <row r="442" spans="1:20" x14ac:dyDescent="0.25">
      <c r="A442" s="5"/>
      <c r="B442" s="5"/>
      <c r="C442" s="5"/>
      <c r="D442" s="6"/>
      <c r="E442" s="5"/>
      <c r="F442" s="7" t="str">
        <f>IF(AND(A442&lt;&gt;"",B442&lt;&gt;"",C442&lt;&gt;"",D442&lt;&gt;""),LEFT(A442,2)&amp;LEFT(B442,4)&amp;LEFT(C442,2)&amp;SUBSTITUTE(UPPER(D442),"Ú","U"),"")</f>
        <v/>
      </c>
      <c r="G442" s="7" t="str">
        <f>IFERROR(INDEX(Modelos!$B$2:$B$301,MATCH($B442,Modelos!$C$2:$C$301,0))&amp;"","")</f>
        <v/>
      </c>
      <c r="H442" s="7" t="str">
        <f>IFERROR(INDEX(Modelos!$D$2:$D$301,MATCH($B442,Modelos!$C$2:$C$301,0))&amp;"","")</f>
        <v/>
      </c>
      <c r="I442" s="7" t="str">
        <f>IFERROR(INDEX(Modelos!$E$2:$E$301,MATCH($B442,Modelos!$C$2:$C$301,0))&amp;"","")</f>
        <v/>
      </c>
      <c r="J442" s="7" t="str">
        <f>IFERROR(INDEX(Modelos!$F$2:$F$301,MATCH($B442,Modelos!$C$2:$C$301,0))&amp;"","")</f>
        <v/>
      </c>
      <c r="K442" s="7" t="str">
        <f>IFERROR(INDEX(Modelos!$G$2:$G$301,MATCH($B442,Modelos!$C$2:$C$301,0))&amp;"","")</f>
        <v/>
      </c>
      <c r="L442" s="7" t="str">
        <f>IFERROR(INDEX(Diccionarios!$G$2:$G$201,MATCH($C442,Diccionarios!$H$2:$H$201,0))&amp;"","")</f>
        <v/>
      </c>
      <c r="M442" s="7" t="str">
        <f>IF(D442="","",D442&amp;"")</f>
        <v/>
      </c>
      <c r="N442" s="8" t="str">
        <f>IF($B442="","",IFERROR(INDEX(Modelos!$H$2:$H$301,MATCH($B442,Modelos!$C$2:$C$301,0)),""))</f>
        <v/>
      </c>
      <c r="O442" s="8" t="str">
        <f>IF($B442="","",IFERROR(INDEX(Modelos!$I$2:$I$301,MATCH($B442,Modelos!$C$2:$C$301,0)),""))</f>
        <v/>
      </c>
      <c r="P442" s="8" t="str">
        <f>IF($B442="","",IFERROR(INDEX(Modelos!$J$2:$J$301,MATCH($B442,Modelos!$C$2:$C$301,0)),""))</f>
        <v/>
      </c>
      <c r="Q442" s="7" t="str">
        <f>IFERROR(INDEX(Diccionarios!$B$2:$B$201,MATCH($A442,Diccionarios!$D$2:$D$201,0))&amp;"","")</f>
        <v/>
      </c>
      <c r="R442" s="7" t="str">
        <f>IFERROR(INDEX(Diccionarios!$C$2:$C$201,MATCH($A442,Diccionarios!$D$2:$D$201,0))&amp;"","")</f>
        <v/>
      </c>
      <c r="S442" s="7" t="str">
        <f>IFERROR(INDEX(Modelos!$K$2:$K$301,MATCH($B442,Modelos!$C$2:$C$301,0))&amp;"","")</f>
        <v/>
      </c>
      <c r="T442" s="7" t="str">
        <f>IFERROR(INDEX(Modelos!$L$2:$L$301,MATCH($B442,Modelos!$C$2:$C$301,0))&amp;"","")</f>
        <v/>
      </c>
    </row>
    <row r="443" spans="1:20" x14ac:dyDescent="0.25">
      <c r="A443" s="5"/>
      <c r="B443" s="5"/>
      <c r="C443" s="5"/>
      <c r="D443" s="6"/>
      <c r="E443" s="5"/>
      <c r="F443" s="7" t="str">
        <f>IF(AND(A443&lt;&gt;"",B443&lt;&gt;"",C443&lt;&gt;"",D443&lt;&gt;""),LEFT(A443,2)&amp;LEFT(B443,4)&amp;LEFT(C443,2)&amp;SUBSTITUTE(UPPER(D443),"Ú","U"),"")</f>
        <v/>
      </c>
      <c r="G443" s="7" t="str">
        <f>IFERROR(INDEX(Modelos!$B$2:$B$301,MATCH($B443,Modelos!$C$2:$C$301,0))&amp;"","")</f>
        <v/>
      </c>
      <c r="H443" s="7" t="str">
        <f>IFERROR(INDEX(Modelos!$D$2:$D$301,MATCH($B443,Modelos!$C$2:$C$301,0))&amp;"","")</f>
        <v/>
      </c>
      <c r="I443" s="7" t="str">
        <f>IFERROR(INDEX(Modelos!$E$2:$E$301,MATCH($B443,Modelos!$C$2:$C$301,0))&amp;"","")</f>
        <v/>
      </c>
      <c r="J443" s="7" t="str">
        <f>IFERROR(INDEX(Modelos!$F$2:$F$301,MATCH($B443,Modelos!$C$2:$C$301,0))&amp;"","")</f>
        <v/>
      </c>
      <c r="K443" s="7" t="str">
        <f>IFERROR(INDEX(Modelos!$G$2:$G$301,MATCH($B443,Modelos!$C$2:$C$301,0))&amp;"","")</f>
        <v/>
      </c>
      <c r="L443" s="7" t="str">
        <f>IFERROR(INDEX(Diccionarios!$G$2:$G$201,MATCH($C443,Diccionarios!$H$2:$H$201,0))&amp;"","")</f>
        <v/>
      </c>
      <c r="M443" s="7" t="str">
        <f>IF(D443="","",D443&amp;"")</f>
        <v/>
      </c>
      <c r="N443" s="8" t="str">
        <f>IF($B443="","",IFERROR(INDEX(Modelos!$H$2:$H$301,MATCH($B443,Modelos!$C$2:$C$301,0)),""))</f>
        <v/>
      </c>
      <c r="O443" s="8" t="str">
        <f>IF($B443="","",IFERROR(INDEX(Modelos!$I$2:$I$301,MATCH($B443,Modelos!$C$2:$C$301,0)),""))</f>
        <v/>
      </c>
      <c r="P443" s="8" t="str">
        <f>IF($B443="","",IFERROR(INDEX(Modelos!$J$2:$J$301,MATCH($B443,Modelos!$C$2:$C$301,0)),""))</f>
        <v/>
      </c>
      <c r="Q443" s="7" t="str">
        <f>IFERROR(INDEX(Diccionarios!$B$2:$B$201,MATCH($A443,Diccionarios!$D$2:$D$201,0))&amp;"","")</f>
        <v/>
      </c>
      <c r="R443" s="7" t="str">
        <f>IFERROR(INDEX(Diccionarios!$C$2:$C$201,MATCH($A443,Diccionarios!$D$2:$D$201,0))&amp;"","")</f>
        <v/>
      </c>
      <c r="S443" s="7" t="str">
        <f>IFERROR(INDEX(Modelos!$K$2:$K$301,MATCH($B443,Modelos!$C$2:$C$301,0))&amp;"","")</f>
        <v/>
      </c>
      <c r="T443" s="7" t="str">
        <f>IFERROR(INDEX(Modelos!$L$2:$L$301,MATCH($B443,Modelos!$C$2:$C$301,0))&amp;"","")</f>
        <v/>
      </c>
    </row>
    <row r="444" spans="1:20" x14ac:dyDescent="0.25">
      <c r="A444" s="5"/>
      <c r="B444" s="5"/>
      <c r="C444" s="5"/>
      <c r="D444" s="6"/>
      <c r="E444" s="5"/>
      <c r="F444" s="7" t="str">
        <f>IF(AND(A444&lt;&gt;"",B444&lt;&gt;"",C444&lt;&gt;"",D444&lt;&gt;""),LEFT(A444,2)&amp;LEFT(B444,4)&amp;LEFT(C444,2)&amp;SUBSTITUTE(UPPER(D444),"Ú","U"),"")</f>
        <v/>
      </c>
      <c r="G444" s="7" t="str">
        <f>IFERROR(INDEX(Modelos!$B$2:$B$301,MATCH($B444,Modelos!$C$2:$C$301,0))&amp;"","")</f>
        <v/>
      </c>
      <c r="H444" s="7" t="str">
        <f>IFERROR(INDEX(Modelos!$D$2:$D$301,MATCH($B444,Modelos!$C$2:$C$301,0))&amp;"","")</f>
        <v/>
      </c>
      <c r="I444" s="7" t="str">
        <f>IFERROR(INDEX(Modelos!$E$2:$E$301,MATCH($B444,Modelos!$C$2:$C$301,0))&amp;"","")</f>
        <v/>
      </c>
      <c r="J444" s="7" t="str">
        <f>IFERROR(INDEX(Modelos!$F$2:$F$301,MATCH($B444,Modelos!$C$2:$C$301,0))&amp;"","")</f>
        <v/>
      </c>
      <c r="K444" s="7" t="str">
        <f>IFERROR(INDEX(Modelos!$G$2:$G$301,MATCH($B444,Modelos!$C$2:$C$301,0))&amp;"","")</f>
        <v/>
      </c>
      <c r="L444" s="7" t="str">
        <f>IFERROR(INDEX(Diccionarios!$G$2:$G$201,MATCH($C444,Diccionarios!$H$2:$H$201,0))&amp;"","")</f>
        <v/>
      </c>
      <c r="M444" s="7" t="str">
        <f>IF(D444="","",D444&amp;"")</f>
        <v/>
      </c>
      <c r="N444" s="8" t="str">
        <f>IF($B444="","",IFERROR(INDEX(Modelos!$H$2:$H$301,MATCH($B444,Modelos!$C$2:$C$301,0)),""))</f>
        <v/>
      </c>
      <c r="O444" s="8" t="str">
        <f>IF($B444="","",IFERROR(INDEX(Modelos!$I$2:$I$301,MATCH($B444,Modelos!$C$2:$C$301,0)),""))</f>
        <v/>
      </c>
      <c r="P444" s="8" t="str">
        <f>IF($B444="","",IFERROR(INDEX(Modelos!$J$2:$J$301,MATCH($B444,Modelos!$C$2:$C$301,0)),""))</f>
        <v/>
      </c>
      <c r="Q444" s="7" t="str">
        <f>IFERROR(INDEX(Diccionarios!$B$2:$B$201,MATCH($A444,Diccionarios!$D$2:$D$201,0))&amp;"","")</f>
        <v/>
      </c>
      <c r="R444" s="7" t="str">
        <f>IFERROR(INDEX(Diccionarios!$C$2:$C$201,MATCH($A444,Diccionarios!$D$2:$D$201,0))&amp;"","")</f>
        <v/>
      </c>
      <c r="S444" s="7" t="str">
        <f>IFERROR(INDEX(Modelos!$K$2:$K$301,MATCH($B444,Modelos!$C$2:$C$301,0))&amp;"","")</f>
        <v/>
      </c>
      <c r="T444" s="7" t="str">
        <f>IFERROR(INDEX(Modelos!$L$2:$L$301,MATCH($B444,Modelos!$C$2:$C$301,0))&amp;"","")</f>
        <v/>
      </c>
    </row>
    <row r="445" spans="1:20" x14ac:dyDescent="0.25">
      <c r="A445" s="5"/>
      <c r="B445" s="5"/>
      <c r="C445" s="5"/>
      <c r="D445" s="6"/>
      <c r="E445" s="5"/>
      <c r="F445" s="7" t="str">
        <f>IF(AND(A445&lt;&gt;"",B445&lt;&gt;"",C445&lt;&gt;"",D445&lt;&gt;""),LEFT(A445,2)&amp;LEFT(B445,4)&amp;LEFT(C445,2)&amp;SUBSTITUTE(UPPER(D445),"Ú","U"),"")</f>
        <v/>
      </c>
      <c r="G445" s="7" t="str">
        <f>IFERROR(INDEX(Modelos!$B$2:$B$301,MATCH($B445,Modelos!$C$2:$C$301,0))&amp;"","")</f>
        <v/>
      </c>
      <c r="H445" s="7" t="str">
        <f>IFERROR(INDEX(Modelos!$D$2:$D$301,MATCH($B445,Modelos!$C$2:$C$301,0))&amp;"","")</f>
        <v/>
      </c>
      <c r="I445" s="7" t="str">
        <f>IFERROR(INDEX(Modelos!$E$2:$E$301,MATCH($B445,Modelos!$C$2:$C$301,0))&amp;"","")</f>
        <v/>
      </c>
      <c r="J445" s="7" t="str">
        <f>IFERROR(INDEX(Modelos!$F$2:$F$301,MATCH($B445,Modelos!$C$2:$C$301,0))&amp;"","")</f>
        <v/>
      </c>
      <c r="K445" s="7" t="str">
        <f>IFERROR(INDEX(Modelos!$G$2:$G$301,MATCH($B445,Modelos!$C$2:$C$301,0))&amp;"","")</f>
        <v/>
      </c>
      <c r="L445" s="7" t="str">
        <f>IFERROR(INDEX(Diccionarios!$G$2:$G$201,MATCH($C445,Diccionarios!$H$2:$H$201,0))&amp;"","")</f>
        <v/>
      </c>
      <c r="M445" s="7" t="str">
        <f>IF(D445="","",D445&amp;"")</f>
        <v/>
      </c>
      <c r="N445" s="8" t="str">
        <f>IF($B445="","",IFERROR(INDEX(Modelos!$H$2:$H$301,MATCH($B445,Modelos!$C$2:$C$301,0)),""))</f>
        <v/>
      </c>
      <c r="O445" s="8" t="str">
        <f>IF($B445="","",IFERROR(INDEX(Modelos!$I$2:$I$301,MATCH($B445,Modelos!$C$2:$C$301,0)),""))</f>
        <v/>
      </c>
      <c r="P445" s="8" t="str">
        <f>IF($B445="","",IFERROR(INDEX(Modelos!$J$2:$J$301,MATCH($B445,Modelos!$C$2:$C$301,0)),""))</f>
        <v/>
      </c>
      <c r="Q445" s="7" t="str">
        <f>IFERROR(INDEX(Diccionarios!$B$2:$B$201,MATCH($A445,Diccionarios!$D$2:$D$201,0))&amp;"","")</f>
        <v/>
      </c>
      <c r="R445" s="7" t="str">
        <f>IFERROR(INDEX(Diccionarios!$C$2:$C$201,MATCH($A445,Diccionarios!$D$2:$D$201,0))&amp;"","")</f>
        <v/>
      </c>
      <c r="S445" s="7" t="str">
        <f>IFERROR(INDEX(Modelos!$K$2:$K$301,MATCH($B445,Modelos!$C$2:$C$301,0))&amp;"","")</f>
        <v/>
      </c>
      <c r="T445" s="7" t="str">
        <f>IFERROR(INDEX(Modelos!$L$2:$L$301,MATCH($B445,Modelos!$C$2:$C$301,0))&amp;"","")</f>
        <v/>
      </c>
    </row>
    <row r="446" spans="1:20" x14ac:dyDescent="0.25">
      <c r="A446" s="5"/>
      <c r="B446" s="5"/>
      <c r="C446" s="5"/>
      <c r="D446" s="6"/>
      <c r="E446" s="5"/>
      <c r="F446" s="7" t="str">
        <f>IF(AND(A446&lt;&gt;"",B446&lt;&gt;"",C446&lt;&gt;"",D446&lt;&gt;""),LEFT(A446,2)&amp;LEFT(B446,4)&amp;LEFT(C446,2)&amp;SUBSTITUTE(UPPER(D446),"Ú","U"),"")</f>
        <v/>
      </c>
      <c r="G446" s="7" t="str">
        <f>IFERROR(INDEX(Modelos!$B$2:$B$301,MATCH($B446,Modelos!$C$2:$C$301,0))&amp;"","")</f>
        <v/>
      </c>
      <c r="H446" s="7" t="str">
        <f>IFERROR(INDEX(Modelos!$D$2:$D$301,MATCH($B446,Modelos!$C$2:$C$301,0))&amp;"","")</f>
        <v/>
      </c>
      <c r="I446" s="7" t="str">
        <f>IFERROR(INDEX(Modelos!$E$2:$E$301,MATCH($B446,Modelos!$C$2:$C$301,0))&amp;"","")</f>
        <v/>
      </c>
      <c r="J446" s="7" t="str">
        <f>IFERROR(INDEX(Modelos!$F$2:$F$301,MATCH($B446,Modelos!$C$2:$C$301,0))&amp;"","")</f>
        <v/>
      </c>
      <c r="K446" s="7" t="str">
        <f>IFERROR(INDEX(Modelos!$G$2:$G$301,MATCH($B446,Modelos!$C$2:$C$301,0))&amp;"","")</f>
        <v/>
      </c>
      <c r="L446" s="7" t="str">
        <f>IFERROR(INDEX(Diccionarios!$G$2:$G$201,MATCH($C446,Diccionarios!$H$2:$H$201,0))&amp;"","")</f>
        <v/>
      </c>
      <c r="M446" s="7" t="str">
        <f>IF(D446="","",D446&amp;"")</f>
        <v/>
      </c>
      <c r="N446" s="8" t="str">
        <f>IF($B446="","",IFERROR(INDEX(Modelos!$H$2:$H$301,MATCH($B446,Modelos!$C$2:$C$301,0)),""))</f>
        <v/>
      </c>
      <c r="O446" s="8" t="str">
        <f>IF($B446="","",IFERROR(INDEX(Modelos!$I$2:$I$301,MATCH($B446,Modelos!$C$2:$C$301,0)),""))</f>
        <v/>
      </c>
      <c r="P446" s="8" t="str">
        <f>IF($B446="","",IFERROR(INDEX(Modelos!$J$2:$J$301,MATCH($B446,Modelos!$C$2:$C$301,0)),""))</f>
        <v/>
      </c>
      <c r="Q446" s="7" t="str">
        <f>IFERROR(INDEX(Diccionarios!$B$2:$B$201,MATCH($A446,Diccionarios!$D$2:$D$201,0))&amp;"","")</f>
        <v/>
      </c>
      <c r="R446" s="7" t="str">
        <f>IFERROR(INDEX(Diccionarios!$C$2:$C$201,MATCH($A446,Diccionarios!$D$2:$D$201,0))&amp;"","")</f>
        <v/>
      </c>
      <c r="S446" s="7" t="str">
        <f>IFERROR(INDEX(Modelos!$K$2:$K$301,MATCH($B446,Modelos!$C$2:$C$301,0))&amp;"","")</f>
        <v/>
      </c>
      <c r="T446" s="7" t="str">
        <f>IFERROR(INDEX(Modelos!$L$2:$L$301,MATCH($B446,Modelos!$C$2:$C$301,0))&amp;"","")</f>
        <v/>
      </c>
    </row>
    <row r="447" spans="1:20" x14ac:dyDescent="0.25">
      <c r="A447" s="5"/>
      <c r="B447" s="5"/>
      <c r="C447" s="5"/>
      <c r="D447" s="6"/>
      <c r="E447" s="5"/>
      <c r="F447" s="7" t="str">
        <f>IF(AND(A447&lt;&gt;"",B447&lt;&gt;"",C447&lt;&gt;"",D447&lt;&gt;""),LEFT(A447,2)&amp;LEFT(B447,4)&amp;LEFT(C447,2)&amp;SUBSTITUTE(UPPER(D447),"Ú","U"),"")</f>
        <v/>
      </c>
      <c r="G447" s="7" t="str">
        <f>IFERROR(INDEX(Modelos!$B$2:$B$301,MATCH($B447,Modelos!$C$2:$C$301,0))&amp;"","")</f>
        <v/>
      </c>
      <c r="H447" s="7" t="str">
        <f>IFERROR(INDEX(Modelos!$D$2:$D$301,MATCH($B447,Modelos!$C$2:$C$301,0))&amp;"","")</f>
        <v/>
      </c>
      <c r="I447" s="7" t="str">
        <f>IFERROR(INDEX(Modelos!$E$2:$E$301,MATCH($B447,Modelos!$C$2:$C$301,0))&amp;"","")</f>
        <v/>
      </c>
      <c r="J447" s="7" t="str">
        <f>IFERROR(INDEX(Modelos!$F$2:$F$301,MATCH($B447,Modelos!$C$2:$C$301,0))&amp;"","")</f>
        <v/>
      </c>
      <c r="K447" s="7" t="str">
        <f>IFERROR(INDEX(Modelos!$G$2:$G$301,MATCH($B447,Modelos!$C$2:$C$301,0))&amp;"","")</f>
        <v/>
      </c>
      <c r="L447" s="7" t="str">
        <f>IFERROR(INDEX(Diccionarios!$G$2:$G$201,MATCH($C447,Diccionarios!$H$2:$H$201,0))&amp;"","")</f>
        <v/>
      </c>
      <c r="M447" s="7" t="str">
        <f>IF(D447="","",D447&amp;"")</f>
        <v/>
      </c>
      <c r="N447" s="8" t="str">
        <f>IF($B447="","",IFERROR(INDEX(Modelos!$H$2:$H$301,MATCH($B447,Modelos!$C$2:$C$301,0)),""))</f>
        <v/>
      </c>
      <c r="O447" s="8" t="str">
        <f>IF($B447="","",IFERROR(INDEX(Modelos!$I$2:$I$301,MATCH($B447,Modelos!$C$2:$C$301,0)),""))</f>
        <v/>
      </c>
      <c r="P447" s="8" t="str">
        <f>IF($B447="","",IFERROR(INDEX(Modelos!$J$2:$J$301,MATCH($B447,Modelos!$C$2:$C$301,0)),""))</f>
        <v/>
      </c>
      <c r="Q447" s="7" t="str">
        <f>IFERROR(INDEX(Diccionarios!$B$2:$B$201,MATCH($A447,Diccionarios!$D$2:$D$201,0))&amp;"","")</f>
        <v/>
      </c>
      <c r="R447" s="7" t="str">
        <f>IFERROR(INDEX(Diccionarios!$C$2:$C$201,MATCH($A447,Diccionarios!$D$2:$D$201,0))&amp;"","")</f>
        <v/>
      </c>
      <c r="S447" s="7" t="str">
        <f>IFERROR(INDEX(Modelos!$K$2:$K$301,MATCH($B447,Modelos!$C$2:$C$301,0))&amp;"","")</f>
        <v/>
      </c>
      <c r="T447" s="7" t="str">
        <f>IFERROR(INDEX(Modelos!$L$2:$L$301,MATCH($B447,Modelos!$C$2:$C$301,0))&amp;"","")</f>
        <v/>
      </c>
    </row>
    <row r="448" spans="1:20" x14ac:dyDescent="0.25">
      <c r="A448" s="5"/>
      <c r="B448" s="5"/>
      <c r="C448" s="5"/>
      <c r="D448" s="6"/>
      <c r="E448" s="5"/>
      <c r="F448" s="7" t="str">
        <f>IF(AND(A448&lt;&gt;"",B448&lt;&gt;"",C448&lt;&gt;"",D448&lt;&gt;""),LEFT(A448,2)&amp;LEFT(B448,4)&amp;LEFT(C448,2)&amp;SUBSTITUTE(UPPER(D448),"Ú","U"),"")</f>
        <v/>
      </c>
      <c r="G448" s="7" t="str">
        <f>IFERROR(INDEX(Modelos!$B$2:$B$301,MATCH($B448,Modelos!$C$2:$C$301,0))&amp;"","")</f>
        <v/>
      </c>
      <c r="H448" s="7" t="str">
        <f>IFERROR(INDEX(Modelos!$D$2:$D$301,MATCH($B448,Modelos!$C$2:$C$301,0))&amp;"","")</f>
        <v/>
      </c>
      <c r="I448" s="7" t="str">
        <f>IFERROR(INDEX(Modelos!$E$2:$E$301,MATCH($B448,Modelos!$C$2:$C$301,0))&amp;"","")</f>
        <v/>
      </c>
      <c r="J448" s="7" t="str">
        <f>IFERROR(INDEX(Modelos!$F$2:$F$301,MATCH($B448,Modelos!$C$2:$C$301,0))&amp;"","")</f>
        <v/>
      </c>
      <c r="K448" s="7" t="str">
        <f>IFERROR(INDEX(Modelos!$G$2:$G$301,MATCH($B448,Modelos!$C$2:$C$301,0))&amp;"","")</f>
        <v/>
      </c>
      <c r="L448" s="7" t="str">
        <f>IFERROR(INDEX(Diccionarios!$G$2:$G$201,MATCH($C448,Diccionarios!$H$2:$H$201,0))&amp;"","")</f>
        <v/>
      </c>
      <c r="M448" s="7" t="str">
        <f>IF(D448="","",D448&amp;"")</f>
        <v/>
      </c>
      <c r="N448" s="8" t="str">
        <f>IF($B448="","",IFERROR(INDEX(Modelos!$H$2:$H$301,MATCH($B448,Modelos!$C$2:$C$301,0)),""))</f>
        <v/>
      </c>
      <c r="O448" s="8" t="str">
        <f>IF($B448="","",IFERROR(INDEX(Modelos!$I$2:$I$301,MATCH($B448,Modelos!$C$2:$C$301,0)),""))</f>
        <v/>
      </c>
      <c r="P448" s="8" t="str">
        <f>IF($B448="","",IFERROR(INDEX(Modelos!$J$2:$J$301,MATCH($B448,Modelos!$C$2:$C$301,0)),""))</f>
        <v/>
      </c>
      <c r="Q448" s="7" t="str">
        <f>IFERROR(INDEX(Diccionarios!$B$2:$B$201,MATCH($A448,Diccionarios!$D$2:$D$201,0))&amp;"","")</f>
        <v/>
      </c>
      <c r="R448" s="7" t="str">
        <f>IFERROR(INDEX(Diccionarios!$C$2:$C$201,MATCH($A448,Diccionarios!$D$2:$D$201,0))&amp;"","")</f>
        <v/>
      </c>
      <c r="S448" s="7" t="str">
        <f>IFERROR(INDEX(Modelos!$K$2:$K$301,MATCH($B448,Modelos!$C$2:$C$301,0))&amp;"","")</f>
        <v/>
      </c>
      <c r="T448" s="7" t="str">
        <f>IFERROR(INDEX(Modelos!$L$2:$L$301,MATCH($B448,Modelos!$C$2:$C$301,0))&amp;"","")</f>
        <v/>
      </c>
    </row>
    <row r="449" spans="1:20" x14ac:dyDescent="0.25">
      <c r="A449" s="5"/>
      <c r="B449" s="5"/>
      <c r="C449" s="5"/>
      <c r="D449" s="6"/>
      <c r="E449" s="5"/>
      <c r="F449" s="7" t="str">
        <f>IF(AND(A449&lt;&gt;"",B449&lt;&gt;"",C449&lt;&gt;"",D449&lt;&gt;""),LEFT(A449,2)&amp;LEFT(B449,4)&amp;LEFT(C449,2)&amp;SUBSTITUTE(UPPER(D449),"Ú","U"),"")</f>
        <v/>
      </c>
      <c r="G449" s="7" t="str">
        <f>IFERROR(INDEX(Modelos!$B$2:$B$301,MATCH($B449,Modelos!$C$2:$C$301,0))&amp;"","")</f>
        <v/>
      </c>
      <c r="H449" s="7" t="str">
        <f>IFERROR(INDEX(Modelos!$D$2:$D$301,MATCH($B449,Modelos!$C$2:$C$301,0))&amp;"","")</f>
        <v/>
      </c>
      <c r="I449" s="7" t="str">
        <f>IFERROR(INDEX(Modelos!$E$2:$E$301,MATCH($B449,Modelos!$C$2:$C$301,0))&amp;"","")</f>
        <v/>
      </c>
      <c r="J449" s="7" t="str">
        <f>IFERROR(INDEX(Modelos!$F$2:$F$301,MATCH($B449,Modelos!$C$2:$C$301,0))&amp;"","")</f>
        <v/>
      </c>
      <c r="K449" s="7" t="str">
        <f>IFERROR(INDEX(Modelos!$G$2:$G$301,MATCH($B449,Modelos!$C$2:$C$301,0))&amp;"","")</f>
        <v/>
      </c>
      <c r="L449" s="7" t="str">
        <f>IFERROR(INDEX(Diccionarios!$G$2:$G$201,MATCH($C449,Diccionarios!$H$2:$H$201,0))&amp;"","")</f>
        <v/>
      </c>
      <c r="M449" s="7" t="str">
        <f>IF(D449="","",D449&amp;"")</f>
        <v/>
      </c>
      <c r="N449" s="8" t="str">
        <f>IF($B449="","",IFERROR(INDEX(Modelos!$H$2:$H$301,MATCH($B449,Modelos!$C$2:$C$301,0)),""))</f>
        <v/>
      </c>
      <c r="O449" s="8" t="str">
        <f>IF($B449="","",IFERROR(INDEX(Modelos!$I$2:$I$301,MATCH($B449,Modelos!$C$2:$C$301,0)),""))</f>
        <v/>
      </c>
      <c r="P449" s="8" t="str">
        <f>IF($B449="","",IFERROR(INDEX(Modelos!$J$2:$J$301,MATCH($B449,Modelos!$C$2:$C$301,0)),""))</f>
        <v/>
      </c>
      <c r="Q449" s="7" t="str">
        <f>IFERROR(INDEX(Diccionarios!$B$2:$B$201,MATCH($A449,Diccionarios!$D$2:$D$201,0))&amp;"","")</f>
        <v/>
      </c>
      <c r="R449" s="7" t="str">
        <f>IFERROR(INDEX(Diccionarios!$C$2:$C$201,MATCH($A449,Diccionarios!$D$2:$D$201,0))&amp;"","")</f>
        <v/>
      </c>
      <c r="S449" s="7" t="str">
        <f>IFERROR(INDEX(Modelos!$K$2:$K$301,MATCH($B449,Modelos!$C$2:$C$301,0))&amp;"","")</f>
        <v/>
      </c>
      <c r="T449" s="7" t="str">
        <f>IFERROR(INDEX(Modelos!$L$2:$L$301,MATCH($B449,Modelos!$C$2:$C$301,0))&amp;"","")</f>
        <v/>
      </c>
    </row>
    <row r="450" spans="1:20" x14ac:dyDescent="0.25">
      <c r="A450" s="5"/>
      <c r="B450" s="5"/>
      <c r="C450" s="5"/>
      <c r="D450" s="6"/>
      <c r="E450" s="5"/>
      <c r="F450" s="7" t="str">
        <f>IF(AND(A450&lt;&gt;"",B450&lt;&gt;"",C450&lt;&gt;"",D450&lt;&gt;""),LEFT(A450,2)&amp;LEFT(B450,4)&amp;LEFT(C450,2)&amp;SUBSTITUTE(UPPER(D450),"Ú","U"),"")</f>
        <v/>
      </c>
      <c r="G450" s="7" t="str">
        <f>IFERROR(INDEX(Modelos!$B$2:$B$301,MATCH($B450,Modelos!$C$2:$C$301,0))&amp;"","")</f>
        <v/>
      </c>
      <c r="H450" s="7" t="str">
        <f>IFERROR(INDEX(Modelos!$D$2:$D$301,MATCH($B450,Modelos!$C$2:$C$301,0))&amp;"","")</f>
        <v/>
      </c>
      <c r="I450" s="7" t="str">
        <f>IFERROR(INDEX(Modelos!$E$2:$E$301,MATCH($B450,Modelos!$C$2:$C$301,0))&amp;"","")</f>
        <v/>
      </c>
      <c r="J450" s="7" t="str">
        <f>IFERROR(INDEX(Modelos!$F$2:$F$301,MATCH($B450,Modelos!$C$2:$C$301,0))&amp;"","")</f>
        <v/>
      </c>
      <c r="K450" s="7" t="str">
        <f>IFERROR(INDEX(Modelos!$G$2:$G$301,MATCH($B450,Modelos!$C$2:$C$301,0))&amp;"","")</f>
        <v/>
      </c>
      <c r="L450" s="7" t="str">
        <f>IFERROR(INDEX(Diccionarios!$G$2:$G$201,MATCH($C450,Diccionarios!$H$2:$H$201,0))&amp;"","")</f>
        <v/>
      </c>
      <c r="M450" s="7" t="str">
        <f>IF(D450="","",D450&amp;"")</f>
        <v/>
      </c>
      <c r="N450" s="8" t="str">
        <f>IF($B450="","",IFERROR(INDEX(Modelos!$H$2:$H$301,MATCH($B450,Modelos!$C$2:$C$301,0)),""))</f>
        <v/>
      </c>
      <c r="O450" s="8" t="str">
        <f>IF($B450="","",IFERROR(INDEX(Modelos!$I$2:$I$301,MATCH($B450,Modelos!$C$2:$C$301,0)),""))</f>
        <v/>
      </c>
      <c r="P450" s="8" t="str">
        <f>IF($B450="","",IFERROR(INDEX(Modelos!$J$2:$J$301,MATCH($B450,Modelos!$C$2:$C$301,0)),""))</f>
        <v/>
      </c>
      <c r="Q450" s="7" t="str">
        <f>IFERROR(INDEX(Diccionarios!$B$2:$B$201,MATCH($A450,Diccionarios!$D$2:$D$201,0))&amp;"","")</f>
        <v/>
      </c>
      <c r="R450" s="7" t="str">
        <f>IFERROR(INDEX(Diccionarios!$C$2:$C$201,MATCH($A450,Diccionarios!$D$2:$D$201,0))&amp;"","")</f>
        <v/>
      </c>
      <c r="S450" s="7" t="str">
        <f>IFERROR(INDEX(Modelos!$K$2:$K$301,MATCH($B450,Modelos!$C$2:$C$301,0))&amp;"","")</f>
        <v/>
      </c>
      <c r="T450" s="7" t="str">
        <f>IFERROR(INDEX(Modelos!$L$2:$L$301,MATCH($B450,Modelos!$C$2:$C$301,0))&amp;"","")</f>
        <v/>
      </c>
    </row>
    <row r="451" spans="1:20" x14ac:dyDescent="0.25">
      <c r="A451" s="5"/>
      <c r="B451" s="5"/>
      <c r="C451" s="5"/>
      <c r="D451" s="6"/>
      <c r="E451" s="5"/>
      <c r="F451" s="7" t="str">
        <f>IF(AND(A451&lt;&gt;"",B451&lt;&gt;"",C451&lt;&gt;"",D451&lt;&gt;""),LEFT(A451,2)&amp;LEFT(B451,4)&amp;LEFT(C451,2)&amp;SUBSTITUTE(UPPER(D451),"Ú","U"),"")</f>
        <v/>
      </c>
      <c r="G451" s="7" t="str">
        <f>IFERROR(INDEX(Modelos!$B$2:$B$301,MATCH($B451,Modelos!$C$2:$C$301,0))&amp;"","")</f>
        <v/>
      </c>
      <c r="H451" s="7" t="str">
        <f>IFERROR(INDEX(Modelos!$D$2:$D$301,MATCH($B451,Modelos!$C$2:$C$301,0))&amp;"","")</f>
        <v/>
      </c>
      <c r="I451" s="7" t="str">
        <f>IFERROR(INDEX(Modelos!$E$2:$E$301,MATCH($B451,Modelos!$C$2:$C$301,0))&amp;"","")</f>
        <v/>
      </c>
      <c r="J451" s="7" t="str">
        <f>IFERROR(INDEX(Modelos!$F$2:$F$301,MATCH($B451,Modelos!$C$2:$C$301,0))&amp;"","")</f>
        <v/>
      </c>
      <c r="K451" s="7" t="str">
        <f>IFERROR(INDEX(Modelos!$G$2:$G$301,MATCH($B451,Modelos!$C$2:$C$301,0))&amp;"","")</f>
        <v/>
      </c>
      <c r="L451" s="7" t="str">
        <f>IFERROR(INDEX(Diccionarios!$G$2:$G$201,MATCH($C451,Diccionarios!$H$2:$H$201,0))&amp;"","")</f>
        <v/>
      </c>
      <c r="M451" s="7" t="str">
        <f>IF(D451="","",D451&amp;"")</f>
        <v/>
      </c>
      <c r="N451" s="8" t="str">
        <f>IF($B451="","",IFERROR(INDEX(Modelos!$H$2:$H$301,MATCH($B451,Modelos!$C$2:$C$301,0)),""))</f>
        <v/>
      </c>
      <c r="O451" s="8" t="str">
        <f>IF($B451="","",IFERROR(INDEX(Modelos!$I$2:$I$301,MATCH($B451,Modelos!$C$2:$C$301,0)),""))</f>
        <v/>
      </c>
      <c r="P451" s="8" t="str">
        <f>IF($B451="","",IFERROR(INDEX(Modelos!$J$2:$J$301,MATCH($B451,Modelos!$C$2:$C$301,0)),""))</f>
        <v/>
      </c>
      <c r="Q451" s="7" t="str">
        <f>IFERROR(INDEX(Diccionarios!$B$2:$B$201,MATCH($A451,Diccionarios!$D$2:$D$201,0))&amp;"","")</f>
        <v/>
      </c>
      <c r="R451" s="7" t="str">
        <f>IFERROR(INDEX(Diccionarios!$C$2:$C$201,MATCH($A451,Diccionarios!$D$2:$D$201,0))&amp;"","")</f>
        <v/>
      </c>
      <c r="S451" s="7" t="str">
        <f>IFERROR(INDEX(Modelos!$K$2:$K$301,MATCH($B451,Modelos!$C$2:$C$301,0))&amp;"","")</f>
        <v/>
      </c>
      <c r="T451" s="7" t="str">
        <f>IFERROR(INDEX(Modelos!$L$2:$L$301,MATCH($B451,Modelos!$C$2:$C$301,0))&amp;"","")</f>
        <v/>
      </c>
    </row>
    <row r="452" spans="1:20" x14ac:dyDescent="0.25">
      <c r="A452" s="5"/>
      <c r="B452" s="5"/>
      <c r="C452" s="5"/>
      <c r="D452" s="6"/>
      <c r="E452" s="5"/>
      <c r="F452" s="7" t="str">
        <f>IF(AND(A452&lt;&gt;"",B452&lt;&gt;"",C452&lt;&gt;"",D452&lt;&gt;""),LEFT(A452,2)&amp;LEFT(B452,4)&amp;LEFT(C452,2)&amp;SUBSTITUTE(UPPER(D452),"Ú","U"),"")</f>
        <v/>
      </c>
      <c r="G452" s="7" t="str">
        <f>IFERROR(INDEX(Modelos!$B$2:$B$301,MATCH($B452,Modelos!$C$2:$C$301,0))&amp;"","")</f>
        <v/>
      </c>
      <c r="H452" s="7" t="str">
        <f>IFERROR(INDEX(Modelos!$D$2:$D$301,MATCH($B452,Modelos!$C$2:$C$301,0))&amp;"","")</f>
        <v/>
      </c>
      <c r="I452" s="7" t="str">
        <f>IFERROR(INDEX(Modelos!$E$2:$E$301,MATCH($B452,Modelos!$C$2:$C$301,0))&amp;"","")</f>
        <v/>
      </c>
      <c r="J452" s="7" t="str">
        <f>IFERROR(INDEX(Modelos!$F$2:$F$301,MATCH($B452,Modelos!$C$2:$C$301,0))&amp;"","")</f>
        <v/>
      </c>
      <c r="K452" s="7" t="str">
        <f>IFERROR(INDEX(Modelos!$G$2:$G$301,MATCH($B452,Modelos!$C$2:$C$301,0))&amp;"","")</f>
        <v/>
      </c>
      <c r="L452" s="7" t="str">
        <f>IFERROR(INDEX(Diccionarios!$G$2:$G$201,MATCH($C452,Diccionarios!$H$2:$H$201,0))&amp;"","")</f>
        <v/>
      </c>
      <c r="M452" s="7" t="str">
        <f>IF(D452="","",D452&amp;"")</f>
        <v/>
      </c>
      <c r="N452" s="8" t="str">
        <f>IF($B452="","",IFERROR(INDEX(Modelos!$H$2:$H$301,MATCH($B452,Modelos!$C$2:$C$301,0)),""))</f>
        <v/>
      </c>
      <c r="O452" s="8" t="str">
        <f>IF($B452="","",IFERROR(INDEX(Modelos!$I$2:$I$301,MATCH($B452,Modelos!$C$2:$C$301,0)),""))</f>
        <v/>
      </c>
      <c r="P452" s="8" t="str">
        <f>IF($B452="","",IFERROR(INDEX(Modelos!$J$2:$J$301,MATCH($B452,Modelos!$C$2:$C$301,0)),""))</f>
        <v/>
      </c>
      <c r="Q452" s="7" t="str">
        <f>IFERROR(INDEX(Diccionarios!$B$2:$B$201,MATCH($A452,Diccionarios!$D$2:$D$201,0))&amp;"","")</f>
        <v/>
      </c>
      <c r="R452" s="7" t="str">
        <f>IFERROR(INDEX(Diccionarios!$C$2:$C$201,MATCH($A452,Diccionarios!$D$2:$D$201,0))&amp;"","")</f>
        <v/>
      </c>
      <c r="S452" s="7" t="str">
        <f>IFERROR(INDEX(Modelos!$K$2:$K$301,MATCH($B452,Modelos!$C$2:$C$301,0))&amp;"","")</f>
        <v/>
      </c>
      <c r="T452" s="7" t="str">
        <f>IFERROR(INDEX(Modelos!$L$2:$L$301,MATCH($B452,Modelos!$C$2:$C$301,0))&amp;"","")</f>
        <v/>
      </c>
    </row>
    <row r="453" spans="1:20" x14ac:dyDescent="0.25">
      <c r="A453" s="5"/>
      <c r="B453" s="5"/>
      <c r="C453" s="5"/>
      <c r="D453" s="6"/>
      <c r="E453" s="5"/>
      <c r="F453" s="7" t="str">
        <f>IF(AND(A453&lt;&gt;"",B453&lt;&gt;"",C453&lt;&gt;"",D453&lt;&gt;""),LEFT(A453,2)&amp;LEFT(B453,4)&amp;LEFT(C453,2)&amp;SUBSTITUTE(UPPER(D453),"Ú","U"),"")</f>
        <v/>
      </c>
      <c r="G453" s="7" t="str">
        <f>IFERROR(INDEX(Modelos!$B$2:$B$301,MATCH($B453,Modelos!$C$2:$C$301,0))&amp;"","")</f>
        <v/>
      </c>
      <c r="H453" s="7" t="str">
        <f>IFERROR(INDEX(Modelos!$D$2:$D$301,MATCH($B453,Modelos!$C$2:$C$301,0))&amp;"","")</f>
        <v/>
      </c>
      <c r="I453" s="7" t="str">
        <f>IFERROR(INDEX(Modelos!$E$2:$E$301,MATCH($B453,Modelos!$C$2:$C$301,0))&amp;"","")</f>
        <v/>
      </c>
      <c r="J453" s="7" t="str">
        <f>IFERROR(INDEX(Modelos!$F$2:$F$301,MATCH($B453,Modelos!$C$2:$C$301,0))&amp;"","")</f>
        <v/>
      </c>
      <c r="K453" s="7" t="str">
        <f>IFERROR(INDEX(Modelos!$G$2:$G$301,MATCH($B453,Modelos!$C$2:$C$301,0))&amp;"","")</f>
        <v/>
      </c>
      <c r="L453" s="7" t="str">
        <f>IFERROR(INDEX(Diccionarios!$G$2:$G$201,MATCH($C453,Diccionarios!$H$2:$H$201,0))&amp;"","")</f>
        <v/>
      </c>
      <c r="M453" s="7" t="str">
        <f>IF(D453="","",D453&amp;"")</f>
        <v/>
      </c>
      <c r="N453" s="8" t="str">
        <f>IF($B453="","",IFERROR(INDEX(Modelos!$H$2:$H$301,MATCH($B453,Modelos!$C$2:$C$301,0)),""))</f>
        <v/>
      </c>
      <c r="O453" s="8" t="str">
        <f>IF($B453="","",IFERROR(INDEX(Modelos!$I$2:$I$301,MATCH($B453,Modelos!$C$2:$C$301,0)),""))</f>
        <v/>
      </c>
      <c r="P453" s="8" t="str">
        <f>IF($B453="","",IFERROR(INDEX(Modelos!$J$2:$J$301,MATCH($B453,Modelos!$C$2:$C$301,0)),""))</f>
        <v/>
      </c>
      <c r="Q453" s="7" t="str">
        <f>IFERROR(INDEX(Diccionarios!$B$2:$B$201,MATCH($A453,Diccionarios!$D$2:$D$201,0))&amp;"","")</f>
        <v/>
      </c>
      <c r="R453" s="7" t="str">
        <f>IFERROR(INDEX(Diccionarios!$C$2:$C$201,MATCH($A453,Diccionarios!$D$2:$D$201,0))&amp;"","")</f>
        <v/>
      </c>
      <c r="S453" s="7" t="str">
        <f>IFERROR(INDEX(Modelos!$K$2:$K$301,MATCH($B453,Modelos!$C$2:$C$301,0))&amp;"","")</f>
        <v/>
      </c>
      <c r="T453" s="7" t="str">
        <f>IFERROR(INDEX(Modelos!$L$2:$L$301,MATCH($B453,Modelos!$C$2:$C$301,0))&amp;"","")</f>
        <v/>
      </c>
    </row>
    <row r="454" spans="1:20" x14ac:dyDescent="0.25">
      <c r="A454" s="5"/>
      <c r="B454" s="5"/>
      <c r="C454" s="5"/>
      <c r="D454" s="6"/>
      <c r="E454" s="5"/>
      <c r="F454" s="7" t="str">
        <f>IF(AND(A454&lt;&gt;"",B454&lt;&gt;"",C454&lt;&gt;"",D454&lt;&gt;""),LEFT(A454,2)&amp;LEFT(B454,4)&amp;LEFT(C454,2)&amp;SUBSTITUTE(UPPER(D454),"Ú","U"),"")</f>
        <v/>
      </c>
      <c r="G454" s="7" t="str">
        <f>IFERROR(INDEX(Modelos!$B$2:$B$301,MATCH($B454,Modelos!$C$2:$C$301,0))&amp;"","")</f>
        <v/>
      </c>
      <c r="H454" s="7" t="str">
        <f>IFERROR(INDEX(Modelos!$D$2:$D$301,MATCH($B454,Modelos!$C$2:$C$301,0))&amp;"","")</f>
        <v/>
      </c>
      <c r="I454" s="7" t="str">
        <f>IFERROR(INDEX(Modelos!$E$2:$E$301,MATCH($B454,Modelos!$C$2:$C$301,0))&amp;"","")</f>
        <v/>
      </c>
      <c r="J454" s="7" t="str">
        <f>IFERROR(INDEX(Modelos!$F$2:$F$301,MATCH($B454,Modelos!$C$2:$C$301,0))&amp;"","")</f>
        <v/>
      </c>
      <c r="K454" s="7" t="str">
        <f>IFERROR(INDEX(Modelos!$G$2:$G$301,MATCH($B454,Modelos!$C$2:$C$301,0))&amp;"","")</f>
        <v/>
      </c>
      <c r="L454" s="7" t="str">
        <f>IFERROR(INDEX(Diccionarios!$G$2:$G$201,MATCH($C454,Diccionarios!$H$2:$H$201,0))&amp;"","")</f>
        <v/>
      </c>
      <c r="M454" s="7" t="str">
        <f>IF(D454="","",D454&amp;"")</f>
        <v/>
      </c>
      <c r="N454" s="8" t="str">
        <f>IF($B454="","",IFERROR(INDEX(Modelos!$H$2:$H$301,MATCH($B454,Modelos!$C$2:$C$301,0)),""))</f>
        <v/>
      </c>
      <c r="O454" s="8" t="str">
        <f>IF($B454="","",IFERROR(INDEX(Modelos!$I$2:$I$301,MATCH($B454,Modelos!$C$2:$C$301,0)),""))</f>
        <v/>
      </c>
      <c r="P454" s="8" t="str">
        <f>IF($B454="","",IFERROR(INDEX(Modelos!$J$2:$J$301,MATCH($B454,Modelos!$C$2:$C$301,0)),""))</f>
        <v/>
      </c>
      <c r="Q454" s="7" t="str">
        <f>IFERROR(INDEX(Diccionarios!$B$2:$B$201,MATCH($A454,Diccionarios!$D$2:$D$201,0))&amp;"","")</f>
        <v/>
      </c>
      <c r="R454" s="7" t="str">
        <f>IFERROR(INDEX(Diccionarios!$C$2:$C$201,MATCH($A454,Diccionarios!$D$2:$D$201,0))&amp;"","")</f>
        <v/>
      </c>
      <c r="S454" s="7" t="str">
        <f>IFERROR(INDEX(Modelos!$K$2:$K$301,MATCH($B454,Modelos!$C$2:$C$301,0))&amp;"","")</f>
        <v/>
      </c>
      <c r="T454" s="7" t="str">
        <f>IFERROR(INDEX(Modelos!$L$2:$L$301,MATCH($B454,Modelos!$C$2:$C$301,0))&amp;"","")</f>
        <v/>
      </c>
    </row>
    <row r="455" spans="1:20" x14ac:dyDescent="0.25">
      <c r="A455" s="5"/>
      <c r="B455" s="5"/>
      <c r="C455" s="5"/>
      <c r="D455" s="6"/>
      <c r="E455" s="5"/>
      <c r="F455" s="7" t="str">
        <f>IF(AND(A455&lt;&gt;"",B455&lt;&gt;"",C455&lt;&gt;"",D455&lt;&gt;""),LEFT(A455,2)&amp;LEFT(B455,4)&amp;LEFT(C455,2)&amp;SUBSTITUTE(UPPER(D455),"Ú","U"),"")</f>
        <v/>
      </c>
      <c r="G455" s="7" t="str">
        <f>IFERROR(INDEX(Modelos!$B$2:$B$301,MATCH($B455,Modelos!$C$2:$C$301,0))&amp;"","")</f>
        <v/>
      </c>
      <c r="H455" s="7" t="str">
        <f>IFERROR(INDEX(Modelos!$D$2:$D$301,MATCH($B455,Modelos!$C$2:$C$301,0))&amp;"","")</f>
        <v/>
      </c>
      <c r="I455" s="7" t="str">
        <f>IFERROR(INDEX(Modelos!$E$2:$E$301,MATCH($B455,Modelos!$C$2:$C$301,0))&amp;"","")</f>
        <v/>
      </c>
      <c r="J455" s="7" t="str">
        <f>IFERROR(INDEX(Modelos!$F$2:$F$301,MATCH($B455,Modelos!$C$2:$C$301,0))&amp;"","")</f>
        <v/>
      </c>
      <c r="K455" s="7" t="str">
        <f>IFERROR(INDEX(Modelos!$G$2:$G$301,MATCH($B455,Modelos!$C$2:$C$301,0))&amp;"","")</f>
        <v/>
      </c>
      <c r="L455" s="7" t="str">
        <f>IFERROR(INDEX(Diccionarios!$G$2:$G$201,MATCH($C455,Diccionarios!$H$2:$H$201,0))&amp;"","")</f>
        <v/>
      </c>
      <c r="M455" s="7" t="str">
        <f>IF(D455="","",D455&amp;"")</f>
        <v/>
      </c>
      <c r="N455" s="8" t="str">
        <f>IF($B455="","",IFERROR(INDEX(Modelos!$H$2:$H$301,MATCH($B455,Modelos!$C$2:$C$301,0)),""))</f>
        <v/>
      </c>
      <c r="O455" s="8" t="str">
        <f>IF($B455="","",IFERROR(INDEX(Modelos!$I$2:$I$301,MATCH($B455,Modelos!$C$2:$C$301,0)),""))</f>
        <v/>
      </c>
      <c r="P455" s="8" t="str">
        <f>IF($B455="","",IFERROR(INDEX(Modelos!$J$2:$J$301,MATCH($B455,Modelos!$C$2:$C$301,0)),""))</f>
        <v/>
      </c>
      <c r="Q455" s="7" t="str">
        <f>IFERROR(INDEX(Diccionarios!$B$2:$B$201,MATCH($A455,Diccionarios!$D$2:$D$201,0))&amp;"","")</f>
        <v/>
      </c>
      <c r="R455" s="7" t="str">
        <f>IFERROR(INDEX(Diccionarios!$C$2:$C$201,MATCH($A455,Diccionarios!$D$2:$D$201,0))&amp;"","")</f>
        <v/>
      </c>
      <c r="S455" s="7" t="str">
        <f>IFERROR(INDEX(Modelos!$K$2:$K$301,MATCH($B455,Modelos!$C$2:$C$301,0))&amp;"","")</f>
        <v/>
      </c>
      <c r="T455" s="7" t="str">
        <f>IFERROR(INDEX(Modelos!$L$2:$L$301,MATCH($B455,Modelos!$C$2:$C$301,0))&amp;"","")</f>
        <v/>
      </c>
    </row>
    <row r="456" spans="1:20" x14ac:dyDescent="0.25">
      <c r="A456" s="5"/>
      <c r="B456" s="5"/>
      <c r="C456" s="5"/>
      <c r="D456" s="6"/>
      <c r="E456" s="5"/>
      <c r="F456" s="7" t="str">
        <f>IF(AND(A456&lt;&gt;"",B456&lt;&gt;"",C456&lt;&gt;"",D456&lt;&gt;""),LEFT(A456,2)&amp;LEFT(B456,4)&amp;LEFT(C456,2)&amp;SUBSTITUTE(UPPER(D456),"Ú","U"),"")</f>
        <v/>
      </c>
      <c r="G456" s="7" t="str">
        <f>IFERROR(INDEX(Modelos!$B$2:$B$301,MATCH($B456,Modelos!$C$2:$C$301,0))&amp;"","")</f>
        <v/>
      </c>
      <c r="H456" s="7" t="str">
        <f>IFERROR(INDEX(Modelos!$D$2:$D$301,MATCH($B456,Modelos!$C$2:$C$301,0))&amp;"","")</f>
        <v/>
      </c>
      <c r="I456" s="7" t="str">
        <f>IFERROR(INDEX(Modelos!$E$2:$E$301,MATCH($B456,Modelos!$C$2:$C$301,0))&amp;"","")</f>
        <v/>
      </c>
      <c r="J456" s="7" t="str">
        <f>IFERROR(INDEX(Modelos!$F$2:$F$301,MATCH($B456,Modelos!$C$2:$C$301,0))&amp;"","")</f>
        <v/>
      </c>
      <c r="K456" s="7" t="str">
        <f>IFERROR(INDEX(Modelos!$G$2:$G$301,MATCH($B456,Modelos!$C$2:$C$301,0))&amp;"","")</f>
        <v/>
      </c>
      <c r="L456" s="7" t="str">
        <f>IFERROR(INDEX(Diccionarios!$G$2:$G$201,MATCH($C456,Diccionarios!$H$2:$H$201,0))&amp;"","")</f>
        <v/>
      </c>
      <c r="M456" s="7" t="str">
        <f>IF(D456="","",D456&amp;"")</f>
        <v/>
      </c>
      <c r="N456" s="8" t="str">
        <f>IF($B456="","",IFERROR(INDEX(Modelos!$H$2:$H$301,MATCH($B456,Modelos!$C$2:$C$301,0)),""))</f>
        <v/>
      </c>
      <c r="O456" s="8" t="str">
        <f>IF($B456="","",IFERROR(INDEX(Modelos!$I$2:$I$301,MATCH($B456,Modelos!$C$2:$C$301,0)),""))</f>
        <v/>
      </c>
      <c r="P456" s="8" t="str">
        <f>IF($B456="","",IFERROR(INDEX(Modelos!$J$2:$J$301,MATCH($B456,Modelos!$C$2:$C$301,0)),""))</f>
        <v/>
      </c>
      <c r="Q456" s="7" t="str">
        <f>IFERROR(INDEX(Diccionarios!$B$2:$B$201,MATCH($A456,Diccionarios!$D$2:$D$201,0))&amp;"","")</f>
        <v/>
      </c>
      <c r="R456" s="7" t="str">
        <f>IFERROR(INDEX(Diccionarios!$C$2:$C$201,MATCH($A456,Diccionarios!$D$2:$D$201,0))&amp;"","")</f>
        <v/>
      </c>
      <c r="S456" s="7" t="str">
        <f>IFERROR(INDEX(Modelos!$K$2:$K$301,MATCH($B456,Modelos!$C$2:$C$301,0))&amp;"","")</f>
        <v/>
      </c>
      <c r="T456" s="7" t="str">
        <f>IFERROR(INDEX(Modelos!$L$2:$L$301,MATCH($B456,Modelos!$C$2:$C$301,0))&amp;"","")</f>
        <v/>
      </c>
    </row>
    <row r="457" spans="1:20" x14ac:dyDescent="0.25">
      <c r="A457" s="5"/>
      <c r="B457" s="5"/>
      <c r="C457" s="5"/>
      <c r="D457" s="6"/>
      <c r="E457" s="5"/>
      <c r="F457" s="7" t="str">
        <f>IF(AND(A457&lt;&gt;"",B457&lt;&gt;"",C457&lt;&gt;"",D457&lt;&gt;""),LEFT(A457,2)&amp;LEFT(B457,4)&amp;LEFT(C457,2)&amp;SUBSTITUTE(UPPER(D457),"Ú","U"),"")</f>
        <v/>
      </c>
      <c r="G457" s="7" t="str">
        <f>IFERROR(INDEX(Modelos!$B$2:$B$301,MATCH($B457,Modelos!$C$2:$C$301,0))&amp;"","")</f>
        <v/>
      </c>
      <c r="H457" s="7" t="str">
        <f>IFERROR(INDEX(Modelos!$D$2:$D$301,MATCH($B457,Modelos!$C$2:$C$301,0))&amp;"","")</f>
        <v/>
      </c>
      <c r="I457" s="7" t="str">
        <f>IFERROR(INDEX(Modelos!$E$2:$E$301,MATCH($B457,Modelos!$C$2:$C$301,0))&amp;"","")</f>
        <v/>
      </c>
      <c r="J457" s="7" t="str">
        <f>IFERROR(INDEX(Modelos!$F$2:$F$301,MATCH($B457,Modelos!$C$2:$C$301,0))&amp;"","")</f>
        <v/>
      </c>
      <c r="K457" s="7" t="str">
        <f>IFERROR(INDEX(Modelos!$G$2:$G$301,MATCH($B457,Modelos!$C$2:$C$301,0))&amp;"","")</f>
        <v/>
      </c>
      <c r="L457" s="7" t="str">
        <f>IFERROR(INDEX(Diccionarios!$G$2:$G$201,MATCH($C457,Diccionarios!$H$2:$H$201,0))&amp;"","")</f>
        <v/>
      </c>
      <c r="M457" s="7" t="str">
        <f>IF(D457="","",D457&amp;"")</f>
        <v/>
      </c>
      <c r="N457" s="8" t="str">
        <f>IF($B457="","",IFERROR(INDEX(Modelos!$H$2:$H$301,MATCH($B457,Modelos!$C$2:$C$301,0)),""))</f>
        <v/>
      </c>
      <c r="O457" s="8" t="str">
        <f>IF($B457="","",IFERROR(INDEX(Modelos!$I$2:$I$301,MATCH($B457,Modelos!$C$2:$C$301,0)),""))</f>
        <v/>
      </c>
      <c r="P457" s="8" t="str">
        <f>IF($B457="","",IFERROR(INDEX(Modelos!$J$2:$J$301,MATCH($B457,Modelos!$C$2:$C$301,0)),""))</f>
        <v/>
      </c>
      <c r="Q457" s="7" t="str">
        <f>IFERROR(INDEX(Diccionarios!$B$2:$B$201,MATCH($A457,Diccionarios!$D$2:$D$201,0))&amp;"","")</f>
        <v/>
      </c>
      <c r="R457" s="7" t="str">
        <f>IFERROR(INDEX(Diccionarios!$C$2:$C$201,MATCH($A457,Diccionarios!$D$2:$D$201,0))&amp;"","")</f>
        <v/>
      </c>
      <c r="S457" s="7" t="str">
        <f>IFERROR(INDEX(Modelos!$K$2:$K$301,MATCH($B457,Modelos!$C$2:$C$301,0))&amp;"","")</f>
        <v/>
      </c>
      <c r="T457" s="7" t="str">
        <f>IFERROR(INDEX(Modelos!$L$2:$L$301,MATCH($B457,Modelos!$C$2:$C$301,0))&amp;"","")</f>
        <v/>
      </c>
    </row>
    <row r="458" spans="1:20" x14ac:dyDescent="0.25">
      <c r="A458" s="5"/>
      <c r="B458" s="5"/>
      <c r="C458" s="5"/>
      <c r="D458" s="6"/>
      <c r="E458" s="5"/>
      <c r="F458" s="7" t="str">
        <f>IF(AND(A458&lt;&gt;"",B458&lt;&gt;"",C458&lt;&gt;"",D458&lt;&gt;""),LEFT(A458,2)&amp;LEFT(B458,4)&amp;LEFT(C458,2)&amp;SUBSTITUTE(UPPER(D458),"Ú","U"),"")</f>
        <v/>
      </c>
      <c r="G458" s="7" t="str">
        <f>IFERROR(INDEX(Modelos!$B$2:$B$301,MATCH($B458,Modelos!$C$2:$C$301,0))&amp;"","")</f>
        <v/>
      </c>
      <c r="H458" s="7" t="str">
        <f>IFERROR(INDEX(Modelos!$D$2:$D$301,MATCH($B458,Modelos!$C$2:$C$301,0))&amp;"","")</f>
        <v/>
      </c>
      <c r="I458" s="7" t="str">
        <f>IFERROR(INDEX(Modelos!$E$2:$E$301,MATCH($B458,Modelos!$C$2:$C$301,0))&amp;"","")</f>
        <v/>
      </c>
      <c r="J458" s="7" t="str">
        <f>IFERROR(INDEX(Modelos!$F$2:$F$301,MATCH($B458,Modelos!$C$2:$C$301,0))&amp;"","")</f>
        <v/>
      </c>
      <c r="K458" s="7" t="str">
        <f>IFERROR(INDEX(Modelos!$G$2:$G$301,MATCH($B458,Modelos!$C$2:$C$301,0))&amp;"","")</f>
        <v/>
      </c>
      <c r="L458" s="7" t="str">
        <f>IFERROR(INDEX(Diccionarios!$G$2:$G$201,MATCH($C458,Diccionarios!$H$2:$H$201,0))&amp;"","")</f>
        <v/>
      </c>
      <c r="M458" s="7" t="str">
        <f>IF(D458="","",D458&amp;"")</f>
        <v/>
      </c>
      <c r="N458" s="8" t="str">
        <f>IF($B458="","",IFERROR(INDEX(Modelos!$H$2:$H$301,MATCH($B458,Modelos!$C$2:$C$301,0)),""))</f>
        <v/>
      </c>
      <c r="O458" s="8" t="str">
        <f>IF($B458="","",IFERROR(INDEX(Modelos!$I$2:$I$301,MATCH($B458,Modelos!$C$2:$C$301,0)),""))</f>
        <v/>
      </c>
      <c r="P458" s="8" t="str">
        <f>IF($B458="","",IFERROR(INDEX(Modelos!$J$2:$J$301,MATCH($B458,Modelos!$C$2:$C$301,0)),""))</f>
        <v/>
      </c>
      <c r="Q458" s="7" t="str">
        <f>IFERROR(INDEX(Diccionarios!$B$2:$B$201,MATCH($A458,Diccionarios!$D$2:$D$201,0))&amp;"","")</f>
        <v/>
      </c>
      <c r="R458" s="7" t="str">
        <f>IFERROR(INDEX(Diccionarios!$C$2:$C$201,MATCH($A458,Diccionarios!$D$2:$D$201,0))&amp;"","")</f>
        <v/>
      </c>
      <c r="S458" s="7" t="str">
        <f>IFERROR(INDEX(Modelos!$K$2:$K$301,MATCH($B458,Modelos!$C$2:$C$301,0))&amp;"","")</f>
        <v/>
      </c>
      <c r="T458" s="7" t="str">
        <f>IFERROR(INDEX(Modelos!$L$2:$L$301,MATCH($B458,Modelos!$C$2:$C$301,0))&amp;"","")</f>
        <v/>
      </c>
    </row>
    <row r="459" spans="1:20" x14ac:dyDescent="0.25">
      <c r="A459" s="5"/>
      <c r="B459" s="5"/>
      <c r="C459" s="5"/>
      <c r="D459" s="6"/>
      <c r="E459" s="5"/>
      <c r="F459" s="7" t="str">
        <f>IF(AND(A459&lt;&gt;"",B459&lt;&gt;"",C459&lt;&gt;"",D459&lt;&gt;""),LEFT(A459,2)&amp;LEFT(B459,4)&amp;LEFT(C459,2)&amp;SUBSTITUTE(UPPER(D459),"Ú","U"),"")</f>
        <v/>
      </c>
      <c r="G459" s="7" t="str">
        <f>IFERROR(INDEX(Modelos!$B$2:$B$301,MATCH($B459,Modelos!$C$2:$C$301,0))&amp;"","")</f>
        <v/>
      </c>
      <c r="H459" s="7" t="str">
        <f>IFERROR(INDEX(Modelos!$D$2:$D$301,MATCH($B459,Modelos!$C$2:$C$301,0))&amp;"","")</f>
        <v/>
      </c>
      <c r="I459" s="7" t="str">
        <f>IFERROR(INDEX(Modelos!$E$2:$E$301,MATCH($B459,Modelos!$C$2:$C$301,0))&amp;"","")</f>
        <v/>
      </c>
      <c r="J459" s="7" t="str">
        <f>IFERROR(INDEX(Modelos!$F$2:$F$301,MATCH($B459,Modelos!$C$2:$C$301,0))&amp;"","")</f>
        <v/>
      </c>
      <c r="K459" s="7" t="str">
        <f>IFERROR(INDEX(Modelos!$G$2:$G$301,MATCH($B459,Modelos!$C$2:$C$301,0))&amp;"","")</f>
        <v/>
      </c>
      <c r="L459" s="7" t="str">
        <f>IFERROR(INDEX(Diccionarios!$G$2:$G$201,MATCH($C459,Diccionarios!$H$2:$H$201,0))&amp;"","")</f>
        <v/>
      </c>
      <c r="M459" s="7" t="str">
        <f>IF(D459="","",D459&amp;"")</f>
        <v/>
      </c>
      <c r="N459" s="8" t="str">
        <f>IF($B459="","",IFERROR(INDEX(Modelos!$H$2:$H$301,MATCH($B459,Modelos!$C$2:$C$301,0)),""))</f>
        <v/>
      </c>
      <c r="O459" s="8" t="str">
        <f>IF($B459="","",IFERROR(INDEX(Modelos!$I$2:$I$301,MATCH($B459,Modelos!$C$2:$C$301,0)),""))</f>
        <v/>
      </c>
      <c r="P459" s="8" t="str">
        <f>IF($B459="","",IFERROR(INDEX(Modelos!$J$2:$J$301,MATCH($B459,Modelos!$C$2:$C$301,0)),""))</f>
        <v/>
      </c>
      <c r="Q459" s="7" t="str">
        <f>IFERROR(INDEX(Diccionarios!$B$2:$B$201,MATCH($A459,Diccionarios!$D$2:$D$201,0))&amp;"","")</f>
        <v/>
      </c>
      <c r="R459" s="7" t="str">
        <f>IFERROR(INDEX(Diccionarios!$C$2:$C$201,MATCH($A459,Diccionarios!$D$2:$D$201,0))&amp;"","")</f>
        <v/>
      </c>
      <c r="S459" s="7" t="str">
        <f>IFERROR(INDEX(Modelos!$K$2:$K$301,MATCH($B459,Modelos!$C$2:$C$301,0))&amp;"","")</f>
        <v/>
      </c>
      <c r="T459" s="7" t="str">
        <f>IFERROR(INDEX(Modelos!$L$2:$L$301,MATCH($B459,Modelos!$C$2:$C$301,0))&amp;"","")</f>
        <v/>
      </c>
    </row>
    <row r="460" spans="1:20" x14ac:dyDescent="0.25">
      <c r="A460" s="5"/>
      <c r="B460" s="5"/>
      <c r="C460" s="5"/>
      <c r="D460" s="6"/>
      <c r="E460" s="5"/>
      <c r="F460" s="7" t="str">
        <f>IF(AND(A460&lt;&gt;"",B460&lt;&gt;"",C460&lt;&gt;"",D460&lt;&gt;""),LEFT(A460,2)&amp;LEFT(B460,4)&amp;LEFT(C460,2)&amp;SUBSTITUTE(UPPER(D460),"Ú","U"),"")</f>
        <v/>
      </c>
      <c r="G460" s="7" t="str">
        <f>IFERROR(INDEX(Modelos!$B$2:$B$301,MATCH($B460,Modelos!$C$2:$C$301,0))&amp;"","")</f>
        <v/>
      </c>
      <c r="H460" s="7" t="str">
        <f>IFERROR(INDEX(Modelos!$D$2:$D$301,MATCH($B460,Modelos!$C$2:$C$301,0))&amp;"","")</f>
        <v/>
      </c>
      <c r="I460" s="7" t="str">
        <f>IFERROR(INDEX(Modelos!$E$2:$E$301,MATCH($B460,Modelos!$C$2:$C$301,0))&amp;"","")</f>
        <v/>
      </c>
      <c r="J460" s="7" t="str">
        <f>IFERROR(INDEX(Modelos!$F$2:$F$301,MATCH($B460,Modelos!$C$2:$C$301,0))&amp;"","")</f>
        <v/>
      </c>
      <c r="K460" s="7" t="str">
        <f>IFERROR(INDEX(Modelos!$G$2:$G$301,MATCH($B460,Modelos!$C$2:$C$301,0))&amp;"","")</f>
        <v/>
      </c>
      <c r="L460" s="7" t="str">
        <f>IFERROR(INDEX(Diccionarios!$G$2:$G$201,MATCH($C460,Diccionarios!$H$2:$H$201,0))&amp;"","")</f>
        <v/>
      </c>
      <c r="M460" s="7" t="str">
        <f>IF(D460="","",D460&amp;"")</f>
        <v/>
      </c>
      <c r="N460" s="8" t="str">
        <f>IF($B460="","",IFERROR(INDEX(Modelos!$H$2:$H$301,MATCH($B460,Modelos!$C$2:$C$301,0)),""))</f>
        <v/>
      </c>
      <c r="O460" s="8" t="str">
        <f>IF($B460="","",IFERROR(INDEX(Modelos!$I$2:$I$301,MATCH($B460,Modelos!$C$2:$C$301,0)),""))</f>
        <v/>
      </c>
      <c r="P460" s="8" t="str">
        <f>IF($B460="","",IFERROR(INDEX(Modelos!$J$2:$J$301,MATCH($B460,Modelos!$C$2:$C$301,0)),""))</f>
        <v/>
      </c>
      <c r="Q460" s="7" t="str">
        <f>IFERROR(INDEX(Diccionarios!$B$2:$B$201,MATCH($A460,Diccionarios!$D$2:$D$201,0))&amp;"","")</f>
        <v/>
      </c>
      <c r="R460" s="7" t="str">
        <f>IFERROR(INDEX(Diccionarios!$C$2:$C$201,MATCH($A460,Diccionarios!$D$2:$D$201,0))&amp;"","")</f>
        <v/>
      </c>
      <c r="S460" s="7" t="str">
        <f>IFERROR(INDEX(Modelos!$K$2:$K$301,MATCH($B460,Modelos!$C$2:$C$301,0))&amp;"","")</f>
        <v/>
      </c>
      <c r="T460" s="7" t="str">
        <f>IFERROR(INDEX(Modelos!$L$2:$L$301,MATCH($B460,Modelos!$C$2:$C$301,0))&amp;"","")</f>
        <v/>
      </c>
    </row>
    <row r="461" spans="1:20" x14ac:dyDescent="0.25">
      <c r="A461" s="5"/>
      <c r="B461" s="5"/>
      <c r="C461" s="5"/>
      <c r="D461" s="6"/>
      <c r="E461" s="5"/>
      <c r="F461" s="7" t="str">
        <f>IF(AND(A461&lt;&gt;"",B461&lt;&gt;"",C461&lt;&gt;"",D461&lt;&gt;""),LEFT(A461,2)&amp;LEFT(B461,4)&amp;LEFT(C461,2)&amp;SUBSTITUTE(UPPER(D461),"Ú","U"),"")</f>
        <v/>
      </c>
      <c r="G461" s="7" t="str">
        <f>IFERROR(INDEX(Modelos!$B$2:$B$301,MATCH($B461,Modelos!$C$2:$C$301,0))&amp;"","")</f>
        <v/>
      </c>
      <c r="H461" s="7" t="str">
        <f>IFERROR(INDEX(Modelos!$D$2:$D$301,MATCH($B461,Modelos!$C$2:$C$301,0))&amp;"","")</f>
        <v/>
      </c>
      <c r="I461" s="7" t="str">
        <f>IFERROR(INDEX(Modelos!$E$2:$E$301,MATCH($B461,Modelos!$C$2:$C$301,0))&amp;"","")</f>
        <v/>
      </c>
      <c r="J461" s="7" t="str">
        <f>IFERROR(INDEX(Modelos!$F$2:$F$301,MATCH($B461,Modelos!$C$2:$C$301,0))&amp;"","")</f>
        <v/>
      </c>
      <c r="K461" s="7" t="str">
        <f>IFERROR(INDEX(Modelos!$G$2:$G$301,MATCH($B461,Modelos!$C$2:$C$301,0))&amp;"","")</f>
        <v/>
      </c>
      <c r="L461" s="7" t="str">
        <f>IFERROR(INDEX(Diccionarios!$G$2:$G$201,MATCH($C461,Diccionarios!$H$2:$H$201,0))&amp;"","")</f>
        <v/>
      </c>
      <c r="M461" s="7" t="str">
        <f>IF(D461="","",D461&amp;"")</f>
        <v/>
      </c>
      <c r="N461" s="8" t="str">
        <f>IF($B461="","",IFERROR(INDEX(Modelos!$H$2:$H$301,MATCH($B461,Modelos!$C$2:$C$301,0)),""))</f>
        <v/>
      </c>
      <c r="O461" s="8" t="str">
        <f>IF($B461="","",IFERROR(INDEX(Modelos!$I$2:$I$301,MATCH($B461,Modelos!$C$2:$C$301,0)),""))</f>
        <v/>
      </c>
      <c r="P461" s="8" t="str">
        <f>IF($B461="","",IFERROR(INDEX(Modelos!$J$2:$J$301,MATCH($B461,Modelos!$C$2:$C$301,0)),""))</f>
        <v/>
      </c>
      <c r="Q461" s="7" t="str">
        <f>IFERROR(INDEX(Diccionarios!$B$2:$B$201,MATCH($A461,Diccionarios!$D$2:$D$201,0))&amp;"","")</f>
        <v/>
      </c>
      <c r="R461" s="7" t="str">
        <f>IFERROR(INDEX(Diccionarios!$C$2:$C$201,MATCH($A461,Diccionarios!$D$2:$D$201,0))&amp;"","")</f>
        <v/>
      </c>
      <c r="S461" s="7" t="str">
        <f>IFERROR(INDEX(Modelos!$K$2:$K$301,MATCH($B461,Modelos!$C$2:$C$301,0))&amp;"","")</f>
        <v/>
      </c>
      <c r="T461" s="7" t="str">
        <f>IFERROR(INDEX(Modelos!$L$2:$L$301,MATCH($B461,Modelos!$C$2:$C$301,0))&amp;"","")</f>
        <v/>
      </c>
    </row>
    <row r="462" spans="1:20" x14ac:dyDescent="0.25">
      <c r="A462" s="5"/>
      <c r="B462" s="5"/>
      <c r="C462" s="5"/>
      <c r="D462" s="6"/>
      <c r="E462" s="5"/>
      <c r="F462" s="7" t="str">
        <f>IF(AND(A462&lt;&gt;"",B462&lt;&gt;"",C462&lt;&gt;"",D462&lt;&gt;""),LEFT(A462,2)&amp;LEFT(B462,4)&amp;LEFT(C462,2)&amp;SUBSTITUTE(UPPER(D462),"Ú","U"),"")</f>
        <v/>
      </c>
      <c r="G462" s="7" t="str">
        <f>IFERROR(INDEX(Modelos!$B$2:$B$301,MATCH($B462,Modelos!$C$2:$C$301,0))&amp;"","")</f>
        <v/>
      </c>
      <c r="H462" s="7" t="str">
        <f>IFERROR(INDEX(Modelos!$D$2:$D$301,MATCH($B462,Modelos!$C$2:$C$301,0))&amp;"","")</f>
        <v/>
      </c>
      <c r="I462" s="7" t="str">
        <f>IFERROR(INDEX(Modelos!$E$2:$E$301,MATCH($B462,Modelos!$C$2:$C$301,0))&amp;"","")</f>
        <v/>
      </c>
      <c r="J462" s="7" t="str">
        <f>IFERROR(INDEX(Modelos!$F$2:$F$301,MATCH($B462,Modelos!$C$2:$C$301,0))&amp;"","")</f>
        <v/>
      </c>
      <c r="K462" s="7" t="str">
        <f>IFERROR(INDEX(Modelos!$G$2:$G$301,MATCH($B462,Modelos!$C$2:$C$301,0))&amp;"","")</f>
        <v/>
      </c>
      <c r="L462" s="7" t="str">
        <f>IFERROR(INDEX(Diccionarios!$G$2:$G$201,MATCH($C462,Diccionarios!$H$2:$H$201,0))&amp;"","")</f>
        <v/>
      </c>
      <c r="M462" s="7" t="str">
        <f>IF(D462="","",D462&amp;"")</f>
        <v/>
      </c>
      <c r="N462" s="8" t="str">
        <f>IF($B462="","",IFERROR(INDEX(Modelos!$H$2:$H$301,MATCH($B462,Modelos!$C$2:$C$301,0)),""))</f>
        <v/>
      </c>
      <c r="O462" s="8" t="str">
        <f>IF($B462="","",IFERROR(INDEX(Modelos!$I$2:$I$301,MATCH($B462,Modelos!$C$2:$C$301,0)),""))</f>
        <v/>
      </c>
      <c r="P462" s="8" t="str">
        <f>IF($B462="","",IFERROR(INDEX(Modelos!$J$2:$J$301,MATCH($B462,Modelos!$C$2:$C$301,0)),""))</f>
        <v/>
      </c>
      <c r="Q462" s="7" t="str">
        <f>IFERROR(INDEX(Diccionarios!$B$2:$B$201,MATCH($A462,Diccionarios!$D$2:$D$201,0))&amp;"","")</f>
        <v/>
      </c>
      <c r="R462" s="7" t="str">
        <f>IFERROR(INDEX(Diccionarios!$C$2:$C$201,MATCH($A462,Diccionarios!$D$2:$D$201,0))&amp;"","")</f>
        <v/>
      </c>
      <c r="S462" s="7" t="str">
        <f>IFERROR(INDEX(Modelos!$K$2:$K$301,MATCH($B462,Modelos!$C$2:$C$301,0))&amp;"","")</f>
        <v/>
      </c>
      <c r="T462" s="7" t="str">
        <f>IFERROR(INDEX(Modelos!$L$2:$L$301,MATCH($B462,Modelos!$C$2:$C$301,0))&amp;"","")</f>
        <v/>
      </c>
    </row>
    <row r="463" spans="1:20" x14ac:dyDescent="0.25">
      <c r="A463" s="5"/>
      <c r="B463" s="5"/>
      <c r="C463" s="5"/>
      <c r="D463" s="6"/>
      <c r="E463" s="5"/>
      <c r="F463" s="7" t="str">
        <f>IF(AND(A463&lt;&gt;"",B463&lt;&gt;"",C463&lt;&gt;"",D463&lt;&gt;""),LEFT(A463,2)&amp;LEFT(B463,4)&amp;LEFT(C463,2)&amp;SUBSTITUTE(UPPER(D463),"Ú","U"),"")</f>
        <v/>
      </c>
      <c r="G463" s="7" t="str">
        <f>IFERROR(INDEX(Modelos!$B$2:$B$301,MATCH($B463,Modelos!$C$2:$C$301,0))&amp;"","")</f>
        <v/>
      </c>
      <c r="H463" s="7" t="str">
        <f>IFERROR(INDEX(Modelos!$D$2:$D$301,MATCH($B463,Modelos!$C$2:$C$301,0))&amp;"","")</f>
        <v/>
      </c>
      <c r="I463" s="7" t="str">
        <f>IFERROR(INDEX(Modelos!$E$2:$E$301,MATCH($B463,Modelos!$C$2:$C$301,0))&amp;"","")</f>
        <v/>
      </c>
      <c r="J463" s="7" t="str">
        <f>IFERROR(INDEX(Modelos!$F$2:$F$301,MATCH($B463,Modelos!$C$2:$C$301,0))&amp;"","")</f>
        <v/>
      </c>
      <c r="K463" s="7" t="str">
        <f>IFERROR(INDEX(Modelos!$G$2:$G$301,MATCH($B463,Modelos!$C$2:$C$301,0))&amp;"","")</f>
        <v/>
      </c>
      <c r="L463" s="7" t="str">
        <f>IFERROR(INDEX(Diccionarios!$G$2:$G$201,MATCH($C463,Diccionarios!$H$2:$H$201,0))&amp;"","")</f>
        <v/>
      </c>
      <c r="M463" s="7" t="str">
        <f>IF(D463="","",D463&amp;"")</f>
        <v/>
      </c>
      <c r="N463" s="8" t="str">
        <f>IF($B463="","",IFERROR(INDEX(Modelos!$H$2:$H$301,MATCH($B463,Modelos!$C$2:$C$301,0)),""))</f>
        <v/>
      </c>
      <c r="O463" s="8" t="str">
        <f>IF($B463="","",IFERROR(INDEX(Modelos!$I$2:$I$301,MATCH($B463,Modelos!$C$2:$C$301,0)),""))</f>
        <v/>
      </c>
      <c r="P463" s="8" t="str">
        <f>IF($B463="","",IFERROR(INDEX(Modelos!$J$2:$J$301,MATCH($B463,Modelos!$C$2:$C$301,0)),""))</f>
        <v/>
      </c>
      <c r="Q463" s="7" t="str">
        <f>IFERROR(INDEX(Diccionarios!$B$2:$B$201,MATCH($A463,Diccionarios!$D$2:$D$201,0))&amp;"","")</f>
        <v/>
      </c>
      <c r="R463" s="7" t="str">
        <f>IFERROR(INDEX(Diccionarios!$C$2:$C$201,MATCH($A463,Diccionarios!$D$2:$D$201,0))&amp;"","")</f>
        <v/>
      </c>
      <c r="S463" s="7" t="str">
        <f>IFERROR(INDEX(Modelos!$K$2:$K$301,MATCH($B463,Modelos!$C$2:$C$301,0))&amp;"","")</f>
        <v/>
      </c>
      <c r="T463" s="7" t="str">
        <f>IFERROR(INDEX(Modelos!$L$2:$L$301,MATCH($B463,Modelos!$C$2:$C$301,0))&amp;"","")</f>
        <v/>
      </c>
    </row>
    <row r="464" spans="1:20" x14ac:dyDescent="0.25">
      <c r="A464" s="5"/>
      <c r="B464" s="5"/>
      <c r="C464" s="5"/>
      <c r="D464" s="6"/>
      <c r="E464" s="5"/>
      <c r="F464" s="7" t="str">
        <f>IF(AND(A464&lt;&gt;"",B464&lt;&gt;"",C464&lt;&gt;"",D464&lt;&gt;""),LEFT(A464,2)&amp;LEFT(B464,4)&amp;LEFT(C464,2)&amp;SUBSTITUTE(UPPER(D464),"Ú","U"),"")</f>
        <v/>
      </c>
      <c r="G464" s="7" t="str">
        <f>IFERROR(INDEX(Modelos!$B$2:$B$301,MATCH($B464,Modelos!$C$2:$C$301,0))&amp;"","")</f>
        <v/>
      </c>
      <c r="H464" s="7" t="str">
        <f>IFERROR(INDEX(Modelos!$D$2:$D$301,MATCH($B464,Modelos!$C$2:$C$301,0))&amp;"","")</f>
        <v/>
      </c>
      <c r="I464" s="7" t="str">
        <f>IFERROR(INDEX(Modelos!$E$2:$E$301,MATCH($B464,Modelos!$C$2:$C$301,0))&amp;"","")</f>
        <v/>
      </c>
      <c r="J464" s="7" t="str">
        <f>IFERROR(INDEX(Modelos!$F$2:$F$301,MATCH($B464,Modelos!$C$2:$C$301,0))&amp;"","")</f>
        <v/>
      </c>
      <c r="K464" s="7" t="str">
        <f>IFERROR(INDEX(Modelos!$G$2:$G$301,MATCH($B464,Modelos!$C$2:$C$301,0))&amp;"","")</f>
        <v/>
      </c>
      <c r="L464" s="7" t="str">
        <f>IFERROR(INDEX(Diccionarios!$G$2:$G$201,MATCH($C464,Diccionarios!$H$2:$H$201,0))&amp;"","")</f>
        <v/>
      </c>
      <c r="M464" s="7" t="str">
        <f>IF(D464="","",D464&amp;"")</f>
        <v/>
      </c>
      <c r="N464" s="8" t="str">
        <f>IF($B464="","",IFERROR(INDEX(Modelos!$H$2:$H$301,MATCH($B464,Modelos!$C$2:$C$301,0)),""))</f>
        <v/>
      </c>
      <c r="O464" s="8" t="str">
        <f>IF($B464="","",IFERROR(INDEX(Modelos!$I$2:$I$301,MATCH($B464,Modelos!$C$2:$C$301,0)),""))</f>
        <v/>
      </c>
      <c r="P464" s="8" t="str">
        <f>IF($B464="","",IFERROR(INDEX(Modelos!$J$2:$J$301,MATCH($B464,Modelos!$C$2:$C$301,0)),""))</f>
        <v/>
      </c>
      <c r="Q464" s="7" t="str">
        <f>IFERROR(INDEX(Diccionarios!$B$2:$B$201,MATCH($A464,Diccionarios!$D$2:$D$201,0))&amp;"","")</f>
        <v/>
      </c>
      <c r="R464" s="7" t="str">
        <f>IFERROR(INDEX(Diccionarios!$C$2:$C$201,MATCH($A464,Diccionarios!$D$2:$D$201,0))&amp;"","")</f>
        <v/>
      </c>
      <c r="S464" s="7" t="str">
        <f>IFERROR(INDEX(Modelos!$K$2:$K$301,MATCH($B464,Modelos!$C$2:$C$301,0))&amp;"","")</f>
        <v/>
      </c>
      <c r="T464" s="7" t="str">
        <f>IFERROR(INDEX(Modelos!$L$2:$L$301,MATCH($B464,Modelos!$C$2:$C$301,0))&amp;"","")</f>
        <v/>
      </c>
    </row>
    <row r="465" spans="1:20" x14ac:dyDescent="0.25">
      <c r="A465" s="5"/>
      <c r="B465" s="5"/>
      <c r="C465" s="5"/>
      <c r="D465" s="6"/>
      <c r="E465" s="5"/>
      <c r="F465" s="7" t="str">
        <f>IF(AND(A465&lt;&gt;"",B465&lt;&gt;"",C465&lt;&gt;"",D465&lt;&gt;""),LEFT(A465,2)&amp;LEFT(B465,4)&amp;LEFT(C465,2)&amp;SUBSTITUTE(UPPER(D465),"Ú","U"),"")</f>
        <v/>
      </c>
      <c r="G465" s="7" t="str">
        <f>IFERROR(INDEX(Modelos!$B$2:$B$301,MATCH($B465,Modelos!$C$2:$C$301,0))&amp;"","")</f>
        <v/>
      </c>
      <c r="H465" s="7" t="str">
        <f>IFERROR(INDEX(Modelos!$D$2:$D$301,MATCH($B465,Modelos!$C$2:$C$301,0))&amp;"","")</f>
        <v/>
      </c>
      <c r="I465" s="7" t="str">
        <f>IFERROR(INDEX(Modelos!$E$2:$E$301,MATCH($B465,Modelos!$C$2:$C$301,0))&amp;"","")</f>
        <v/>
      </c>
      <c r="J465" s="7" t="str">
        <f>IFERROR(INDEX(Modelos!$F$2:$F$301,MATCH($B465,Modelos!$C$2:$C$301,0))&amp;"","")</f>
        <v/>
      </c>
      <c r="K465" s="7" t="str">
        <f>IFERROR(INDEX(Modelos!$G$2:$G$301,MATCH($B465,Modelos!$C$2:$C$301,0))&amp;"","")</f>
        <v/>
      </c>
      <c r="L465" s="7" t="str">
        <f>IFERROR(INDEX(Diccionarios!$G$2:$G$201,MATCH($C465,Diccionarios!$H$2:$H$201,0))&amp;"","")</f>
        <v/>
      </c>
      <c r="M465" s="7" t="str">
        <f>IF(D465="","",D465&amp;"")</f>
        <v/>
      </c>
      <c r="N465" s="8" t="str">
        <f>IF($B465="","",IFERROR(INDEX(Modelos!$H$2:$H$301,MATCH($B465,Modelos!$C$2:$C$301,0)),""))</f>
        <v/>
      </c>
      <c r="O465" s="8" t="str">
        <f>IF($B465="","",IFERROR(INDEX(Modelos!$I$2:$I$301,MATCH($B465,Modelos!$C$2:$C$301,0)),""))</f>
        <v/>
      </c>
      <c r="P465" s="8" t="str">
        <f>IF($B465="","",IFERROR(INDEX(Modelos!$J$2:$J$301,MATCH($B465,Modelos!$C$2:$C$301,0)),""))</f>
        <v/>
      </c>
      <c r="Q465" s="7" t="str">
        <f>IFERROR(INDEX(Diccionarios!$B$2:$B$201,MATCH($A465,Diccionarios!$D$2:$D$201,0))&amp;"","")</f>
        <v/>
      </c>
      <c r="R465" s="7" t="str">
        <f>IFERROR(INDEX(Diccionarios!$C$2:$C$201,MATCH($A465,Diccionarios!$D$2:$D$201,0))&amp;"","")</f>
        <v/>
      </c>
      <c r="S465" s="7" t="str">
        <f>IFERROR(INDEX(Modelos!$K$2:$K$301,MATCH($B465,Modelos!$C$2:$C$301,0))&amp;"","")</f>
        <v/>
      </c>
      <c r="T465" s="7" t="str">
        <f>IFERROR(INDEX(Modelos!$L$2:$L$301,MATCH($B465,Modelos!$C$2:$C$301,0))&amp;"","")</f>
        <v/>
      </c>
    </row>
    <row r="466" spans="1:20" x14ac:dyDescent="0.25">
      <c r="A466" s="5"/>
      <c r="B466" s="5"/>
      <c r="C466" s="5"/>
      <c r="D466" s="6"/>
      <c r="E466" s="5"/>
      <c r="F466" s="7" t="str">
        <f>IF(AND(A466&lt;&gt;"",B466&lt;&gt;"",C466&lt;&gt;"",D466&lt;&gt;""),LEFT(A466,2)&amp;LEFT(B466,4)&amp;LEFT(C466,2)&amp;SUBSTITUTE(UPPER(D466),"Ú","U"),"")</f>
        <v/>
      </c>
      <c r="G466" s="7" t="str">
        <f>IFERROR(INDEX(Modelos!$B$2:$B$301,MATCH($B466,Modelos!$C$2:$C$301,0))&amp;"","")</f>
        <v/>
      </c>
      <c r="H466" s="7" t="str">
        <f>IFERROR(INDEX(Modelos!$D$2:$D$301,MATCH($B466,Modelos!$C$2:$C$301,0))&amp;"","")</f>
        <v/>
      </c>
      <c r="I466" s="7" t="str">
        <f>IFERROR(INDEX(Modelos!$E$2:$E$301,MATCH($B466,Modelos!$C$2:$C$301,0))&amp;"","")</f>
        <v/>
      </c>
      <c r="J466" s="7" t="str">
        <f>IFERROR(INDEX(Modelos!$F$2:$F$301,MATCH($B466,Modelos!$C$2:$C$301,0))&amp;"","")</f>
        <v/>
      </c>
      <c r="K466" s="7" t="str">
        <f>IFERROR(INDEX(Modelos!$G$2:$G$301,MATCH($B466,Modelos!$C$2:$C$301,0))&amp;"","")</f>
        <v/>
      </c>
      <c r="L466" s="7" t="str">
        <f>IFERROR(INDEX(Diccionarios!$G$2:$G$201,MATCH($C466,Diccionarios!$H$2:$H$201,0))&amp;"","")</f>
        <v/>
      </c>
      <c r="M466" s="7" t="str">
        <f>IF(D466="","",D466&amp;"")</f>
        <v/>
      </c>
      <c r="N466" s="8" t="str">
        <f>IF($B466="","",IFERROR(INDEX(Modelos!$H$2:$H$301,MATCH($B466,Modelos!$C$2:$C$301,0)),""))</f>
        <v/>
      </c>
      <c r="O466" s="8" t="str">
        <f>IF($B466="","",IFERROR(INDEX(Modelos!$I$2:$I$301,MATCH($B466,Modelos!$C$2:$C$301,0)),""))</f>
        <v/>
      </c>
      <c r="P466" s="8" t="str">
        <f>IF($B466="","",IFERROR(INDEX(Modelos!$J$2:$J$301,MATCH($B466,Modelos!$C$2:$C$301,0)),""))</f>
        <v/>
      </c>
      <c r="Q466" s="7" t="str">
        <f>IFERROR(INDEX(Diccionarios!$B$2:$B$201,MATCH($A466,Diccionarios!$D$2:$D$201,0))&amp;"","")</f>
        <v/>
      </c>
      <c r="R466" s="7" t="str">
        <f>IFERROR(INDEX(Diccionarios!$C$2:$C$201,MATCH($A466,Diccionarios!$D$2:$D$201,0))&amp;"","")</f>
        <v/>
      </c>
      <c r="S466" s="7" t="str">
        <f>IFERROR(INDEX(Modelos!$K$2:$K$301,MATCH($B466,Modelos!$C$2:$C$301,0))&amp;"","")</f>
        <v/>
      </c>
      <c r="T466" s="7" t="str">
        <f>IFERROR(INDEX(Modelos!$L$2:$L$301,MATCH($B466,Modelos!$C$2:$C$301,0))&amp;"","")</f>
        <v/>
      </c>
    </row>
    <row r="467" spans="1:20" x14ac:dyDescent="0.25">
      <c r="A467" s="5"/>
      <c r="B467" s="5"/>
      <c r="C467" s="5"/>
      <c r="D467" s="6"/>
      <c r="E467" s="5"/>
      <c r="F467" s="7" t="str">
        <f>IF(AND(A467&lt;&gt;"",B467&lt;&gt;"",C467&lt;&gt;"",D467&lt;&gt;""),LEFT(A467,2)&amp;LEFT(B467,4)&amp;LEFT(C467,2)&amp;SUBSTITUTE(UPPER(D467),"Ú","U"),"")</f>
        <v/>
      </c>
      <c r="G467" s="7" t="str">
        <f>IFERROR(INDEX(Modelos!$B$2:$B$301,MATCH($B467,Modelos!$C$2:$C$301,0))&amp;"","")</f>
        <v/>
      </c>
      <c r="H467" s="7" t="str">
        <f>IFERROR(INDEX(Modelos!$D$2:$D$301,MATCH($B467,Modelos!$C$2:$C$301,0))&amp;"","")</f>
        <v/>
      </c>
      <c r="I467" s="7" t="str">
        <f>IFERROR(INDEX(Modelos!$E$2:$E$301,MATCH($B467,Modelos!$C$2:$C$301,0))&amp;"","")</f>
        <v/>
      </c>
      <c r="J467" s="7" t="str">
        <f>IFERROR(INDEX(Modelos!$F$2:$F$301,MATCH($B467,Modelos!$C$2:$C$301,0))&amp;"","")</f>
        <v/>
      </c>
      <c r="K467" s="7" t="str">
        <f>IFERROR(INDEX(Modelos!$G$2:$G$301,MATCH($B467,Modelos!$C$2:$C$301,0))&amp;"","")</f>
        <v/>
      </c>
      <c r="L467" s="7" t="str">
        <f>IFERROR(INDEX(Diccionarios!$G$2:$G$201,MATCH($C467,Diccionarios!$H$2:$H$201,0))&amp;"","")</f>
        <v/>
      </c>
      <c r="M467" s="7" t="str">
        <f>IF(D467="","",D467&amp;"")</f>
        <v/>
      </c>
      <c r="N467" s="8" t="str">
        <f>IF($B467="","",IFERROR(INDEX(Modelos!$H$2:$H$301,MATCH($B467,Modelos!$C$2:$C$301,0)),""))</f>
        <v/>
      </c>
      <c r="O467" s="8" t="str">
        <f>IF($B467="","",IFERROR(INDEX(Modelos!$I$2:$I$301,MATCH($B467,Modelos!$C$2:$C$301,0)),""))</f>
        <v/>
      </c>
      <c r="P467" s="8" t="str">
        <f>IF($B467="","",IFERROR(INDEX(Modelos!$J$2:$J$301,MATCH($B467,Modelos!$C$2:$C$301,0)),""))</f>
        <v/>
      </c>
      <c r="Q467" s="7" t="str">
        <f>IFERROR(INDEX(Diccionarios!$B$2:$B$201,MATCH($A467,Diccionarios!$D$2:$D$201,0))&amp;"","")</f>
        <v/>
      </c>
      <c r="R467" s="7" t="str">
        <f>IFERROR(INDEX(Diccionarios!$C$2:$C$201,MATCH($A467,Diccionarios!$D$2:$D$201,0))&amp;"","")</f>
        <v/>
      </c>
      <c r="S467" s="7" t="str">
        <f>IFERROR(INDEX(Modelos!$K$2:$K$301,MATCH($B467,Modelos!$C$2:$C$301,0))&amp;"","")</f>
        <v/>
      </c>
      <c r="T467" s="7" t="str">
        <f>IFERROR(INDEX(Modelos!$L$2:$L$301,MATCH($B467,Modelos!$C$2:$C$301,0))&amp;"","")</f>
        <v/>
      </c>
    </row>
    <row r="468" spans="1:20" x14ac:dyDescent="0.25">
      <c r="A468" s="5"/>
      <c r="B468" s="5"/>
      <c r="C468" s="5"/>
      <c r="D468" s="6"/>
      <c r="E468" s="5"/>
      <c r="F468" s="7" t="str">
        <f>IF(AND(A468&lt;&gt;"",B468&lt;&gt;"",C468&lt;&gt;"",D468&lt;&gt;""),LEFT(A468,2)&amp;LEFT(B468,4)&amp;LEFT(C468,2)&amp;SUBSTITUTE(UPPER(D468),"Ú","U"),"")</f>
        <v/>
      </c>
      <c r="G468" s="7" t="str">
        <f>IFERROR(INDEX(Modelos!$B$2:$B$301,MATCH($B468,Modelos!$C$2:$C$301,0))&amp;"","")</f>
        <v/>
      </c>
      <c r="H468" s="7" t="str">
        <f>IFERROR(INDEX(Modelos!$D$2:$D$301,MATCH($B468,Modelos!$C$2:$C$301,0))&amp;"","")</f>
        <v/>
      </c>
      <c r="I468" s="7" t="str">
        <f>IFERROR(INDEX(Modelos!$E$2:$E$301,MATCH($B468,Modelos!$C$2:$C$301,0))&amp;"","")</f>
        <v/>
      </c>
      <c r="J468" s="7" t="str">
        <f>IFERROR(INDEX(Modelos!$F$2:$F$301,MATCH($B468,Modelos!$C$2:$C$301,0))&amp;"","")</f>
        <v/>
      </c>
      <c r="K468" s="7" t="str">
        <f>IFERROR(INDEX(Modelos!$G$2:$G$301,MATCH($B468,Modelos!$C$2:$C$301,0))&amp;"","")</f>
        <v/>
      </c>
      <c r="L468" s="7" t="str">
        <f>IFERROR(INDEX(Diccionarios!$G$2:$G$201,MATCH($C468,Diccionarios!$H$2:$H$201,0))&amp;"","")</f>
        <v/>
      </c>
      <c r="M468" s="7" t="str">
        <f>IF(D468="","",D468&amp;"")</f>
        <v/>
      </c>
      <c r="N468" s="8" t="str">
        <f>IF($B468="","",IFERROR(INDEX(Modelos!$H$2:$H$301,MATCH($B468,Modelos!$C$2:$C$301,0)),""))</f>
        <v/>
      </c>
      <c r="O468" s="8" t="str">
        <f>IF($B468="","",IFERROR(INDEX(Modelos!$I$2:$I$301,MATCH($B468,Modelos!$C$2:$C$301,0)),""))</f>
        <v/>
      </c>
      <c r="P468" s="8" t="str">
        <f>IF($B468="","",IFERROR(INDEX(Modelos!$J$2:$J$301,MATCH($B468,Modelos!$C$2:$C$301,0)),""))</f>
        <v/>
      </c>
      <c r="Q468" s="7" t="str">
        <f>IFERROR(INDEX(Diccionarios!$B$2:$B$201,MATCH($A468,Diccionarios!$D$2:$D$201,0))&amp;"","")</f>
        <v/>
      </c>
      <c r="R468" s="7" t="str">
        <f>IFERROR(INDEX(Diccionarios!$C$2:$C$201,MATCH($A468,Diccionarios!$D$2:$D$201,0))&amp;"","")</f>
        <v/>
      </c>
      <c r="S468" s="7" t="str">
        <f>IFERROR(INDEX(Modelos!$K$2:$K$301,MATCH($B468,Modelos!$C$2:$C$301,0))&amp;"","")</f>
        <v/>
      </c>
      <c r="T468" s="7" t="str">
        <f>IFERROR(INDEX(Modelos!$L$2:$L$301,MATCH($B468,Modelos!$C$2:$C$301,0))&amp;"","")</f>
        <v/>
      </c>
    </row>
    <row r="469" spans="1:20" x14ac:dyDescent="0.25">
      <c r="A469" s="5"/>
      <c r="B469" s="5"/>
      <c r="C469" s="5"/>
      <c r="D469" s="6"/>
      <c r="E469" s="5"/>
      <c r="F469" s="7" t="str">
        <f>IF(AND(A469&lt;&gt;"",B469&lt;&gt;"",C469&lt;&gt;"",D469&lt;&gt;""),LEFT(A469,2)&amp;LEFT(B469,4)&amp;LEFT(C469,2)&amp;SUBSTITUTE(UPPER(D469),"Ú","U"),"")</f>
        <v/>
      </c>
      <c r="G469" s="7" t="str">
        <f>IFERROR(INDEX(Modelos!$B$2:$B$301,MATCH($B469,Modelos!$C$2:$C$301,0))&amp;"","")</f>
        <v/>
      </c>
      <c r="H469" s="7" t="str">
        <f>IFERROR(INDEX(Modelos!$D$2:$D$301,MATCH($B469,Modelos!$C$2:$C$301,0))&amp;"","")</f>
        <v/>
      </c>
      <c r="I469" s="7" t="str">
        <f>IFERROR(INDEX(Modelos!$E$2:$E$301,MATCH($B469,Modelos!$C$2:$C$301,0))&amp;"","")</f>
        <v/>
      </c>
      <c r="J469" s="7" t="str">
        <f>IFERROR(INDEX(Modelos!$F$2:$F$301,MATCH($B469,Modelos!$C$2:$C$301,0))&amp;"","")</f>
        <v/>
      </c>
      <c r="K469" s="7" t="str">
        <f>IFERROR(INDEX(Modelos!$G$2:$G$301,MATCH($B469,Modelos!$C$2:$C$301,0))&amp;"","")</f>
        <v/>
      </c>
      <c r="L469" s="7" t="str">
        <f>IFERROR(INDEX(Diccionarios!$G$2:$G$201,MATCH($C469,Diccionarios!$H$2:$H$201,0))&amp;"","")</f>
        <v/>
      </c>
      <c r="M469" s="7" t="str">
        <f>IF(D469="","",D469&amp;"")</f>
        <v/>
      </c>
      <c r="N469" s="8" t="str">
        <f>IF($B469="","",IFERROR(INDEX(Modelos!$H$2:$H$301,MATCH($B469,Modelos!$C$2:$C$301,0)),""))</f>
        <v/>
      </c>
      <c r="O469" s="8" t="str">
        <f>IF($B469="","",IFERROR(INDEX(Modelos!$I$2:$I$301,MATCH($B469,Modelos!$C$2:$C$301,0)),""))</f>
        <v/>
      </c>
      <c r="P469" s="8" t="str">
        <f>IF($B469="","",IFERROR(INDEX(Modelos!$J$2:$J$301,MATCH($B469,Modelos!$C$2:$C$301,0)),""))</f>
        <v/>
      </c>
      <c r="Q469" s="7" t="str">
        <f>IFERROR(INDEX(Diccionarios!$B$2:$B$201,MATCH($A469,Diccionarios!$D$2:$D$201,0))&amp;"","")</f>
        <v/>
      </c>
      <c r="R469" s="7" t="str">
        <f>IFERROR(INDEX(Diccionarios!$C$2:$C$201,MATCH($A469,Diccionarios!$D$2:$D$201,0))&amp;"","")</f>
        <v/>
      </c>
      <c r="S469" s="7" t="str">
        <f>IFERROR(INDEX(Modelos!$K$2:$K$301,MATCH($B469,Modelos!$C$2:$C$301,0))&amp;"","")</f>
        <v/>
      </c>
      <c r="T469" s="7" t="str">
        <f>IFERROR(INDEX(Modelos!$L$2:$L$301,MATCH($B469,Modelos!$C$2:$C$301,0))&amp;"","")</f>
        <v/>
      </c>
    </row>
    <row r="470" spans="1:20" x14ac:dyDescent="0.25">
      <c r="A470" s="5"/>
      <c r="B470" s="5"/>
      <c r="C470" s="5"/>
      <c r="D470" s="6"/>
      <c r="E470" s="5"/>
      <c r="F470" s="7" t="str">
        <f>IF(AND(A470&lt;&gt;"",B470&lt;&gt;"",C470&lt;&gt;"",D470&lt;&gt;""),LEFT(A470,2)&amp;LEFT(B470,4)&amp;LEFT(C470,2)&amp;SUBSTITUTE(UPPER(D470),"Ú","U"),"")</f>
        <v/>
      </c>
      <c r="G470" s="7" t="str">
        <f>IFERROR(INDEX(Modelos!$B$2:$B$301,MATCH($B470,Modelos!$C$2:$C$301,0))&amp;"","")</f>
        <v/>
      </c>
      <c r="H470" s="7" t="str">
        <f>IFERROR(INDEX(Modelos!$D$2:$D$301,MATCH($B470,Modelos!$C$2:$C$301,0))&amp;"","")</f>
        <v/>
      </c>
      <c r="I470" s="7" t="str">
        <f>IFERROR(INDEX(Modelos!$E$2:$E$301,MATCH($B470,Modelos!$C$2:$C$301,0))&amp;"","")</f>
        <v/>
      </c>
      <c r="J470" s="7" t="str">
        <f>IFERROR(INDEX(Modelos!$F$2:$F$301,MATCH($B470,Modelos!$C$2:$C$301,0))&amp;"","")</f>
        <v/>
      </c>
      <c r="K470" s="7" t="str">
        <f>IFERROR(INDEX(Modelos!$G$2:$G$301,MATCH($B470,Modelos!$C$2:$C$301,0))&amp;"","")</f>
        <v/>
      </c>
      <c r="L470" s="7" t="str">
        <f>IFERROR(INDEX(Diccionarios!$G$2:$G$201,MATCH($C470,Diccionarios!$H$2:$H$201,0))&amp;"","")</f>
        <v/>
      </c>
      <c r="M470" s="7" t="str">
        <f>IF(D470="","",D470&amp;"")</f>
        <v/>
      </c>
      <c r="N470" s="8" t="str">
        <f>IF($B470="","",IFERROR(INDEX(Modelos!$H$2:$H$301,MATCH($B470,Modelos!$C$2:$C$301,0)),""))</f>
        <v/>
      </c>
      <c r="O470" s="8" t="str">
        <f>IF($B470="","",IFERROR(INDEX(Modelos!$I$2:$I$301,MATCH($B470,Modelos!$C$2:$C$301,0)),""))</f>
        <v/>
      </c>
      <c r="P470" s="8" t="str">
        <f>IF($B470="","",IFERROR(INDEX(Modelos!$J$2:$J$301,MATCH($B470,Modelos!$C$2:$C$301,0)),""))</f>
        <v/>
      </c>
      <c r="Q470" s="7" t="str">
        <f>IFERROR(INDEX(Diccionarios!$B$2:$B$201,MATCH($A470,Diccionarios!$D$2:$D$201,0))&amp;"","")</f>
        <v/>
      </c>
      <c r="R470" s="7" t="str">
        <f>IFERROR(INDEX(Diccionarios!$C$2:$C$201,MATCH($A470,Diccionarios!$D$2:$D$201,0))&amp;"","")</f>
        <v/>
      </c>
      <c r="S470" s="7" t="str">
        <f>IFERROR(INDEX(Modelos!$K$2:$K$301,MATCH($B470,Modelos!$C$2:$C$301,0))&amp;"","")</f>
        <v/>
      </c>
      <c r="T470" s="7" t="str">
        <f>IFERROR(INDEX(Modelos!$L$2:$L$301,MATCH($B470,Modelos!$C$2:$C$301,0))&amp;"","")</f>
        <v/>
      </c>
    </row>
    <row r="471" spans="1:20" x14ac:dyDescent="0.25">
      <c r="A471" s="5"/>
      <c r="B471" s="5"/>
      <c r="C471" s="5"/>
      <c r="D471" s="6"/>
      <c r="E471" s="5"/>
      <c r="F471" s="7" t="str">
        <f>IF(AND(A471&lt;&gt;"",B471&lt;&gt;"",C471&lt;&gt;"",D471&lt;&gt;""),LEFT(A471,2)&amp;LEFT(B471,4)&amp;LEFT(C471,2)&amp;SUBSTITUTE(UPPER(D471),"Ú","U"),"")</f>
        <v/>
      </c>
      <c r="G471" s="7" t="str">
        <f>IFERROR(INDEX(Modelos!$B$2:$B$301,MATCH($B471,Modelos!$C$2:$C$301,0))&amp;"","")</f>
        <v/>
      </c>
      <c r="H471" s="7" t="str">
        <f>IFERROR(INDEX(Modelos!$D$2:$D$301,MATCH($B471,Modelos!$C$2:$C$301,0))&amp;"","")</f>
        <v/>
      </c>
      <c r="I471" s="7" t="str">
        <f>IFERROR(INDEX(Modelos!$E$2:$E$301,MATCH($B471,Modelos!$C$2:$C$301,0))&amp;"","")</f>
        <v/>
      </c>
      <c r="J471" s="7" t="str">
        <f>IFERROR(INDEX(Modelos!$F$2:$F$301,MATCH($B471,Modelos!$C$2:$C$301,0))&amp;"","")</f>
        <v/>
      </c>
      <c r="K471" s="7" t="str">
        <f>IFERROR(INDEX(Modelos!$G$2:$G$301,MATCH($B471,Modelos!$C$2:$C$301,0))&amp;"","")</f>
        <v/>
      </c>
      <c r="L471" s="7" t="str">
        <f>IFERROR(INDEX(Diccionarios!$G$2:$G$201,MATCH($C471,Diccionarios!$H$2:$H$201,0))&amp;"","")</f>
        <v/>
      </c>
      <c r="M471" s="7" t="str">
        <f>IF(D471="","",D471&amp;"")</f>
        <v/>
      </c>
      <c r="N471" s="8" t="str">
        <f>IF($B471="","",IFERROR(INDEX(Modelos!$H$2:$H$301,MATCH($B471,Modelos!$C$2:$C$301,0)),""))</f>
        <v/>
      </c>
      <c r="O471" s="8" t="str">
        <f>IF($B471="","",IFERROR(INDEX(Modelos!$I$2:$I$301,MATCH($B471,Modelos!$C$2:$C$301,0)),""))</f>
        <v/>
      </c>
      <c r="P471" s="8" t="str">
        <f>IF($B471="","",IFERROR(INDEX(Modelos!$J$2:$J$301,MATCH($B471,Modelos!$C$2:$C$301,0)),""))</f>
        <v/>
      </c>
      <c r="Q471" s="7" t="str">
        <f>IFERROR(INDEX(Diccionarios!$B$2:$B$201,MATCH($A471,Diccionarios!$D$2:$D$201,0))&amp;"","")</f>
        <v/>
      </c>
      <c r="R471" s="7" t="str">
        <f>IFERROR(INDEX(Diccionarios!$C$2:$C$201,MATCH($A471,Diccionarios!$D$2:$D$201,0))&amp;"","")</f>
        <v/>
      </c>
      <c r="S471" s="7" t="str">
        <f>IFERROR(INDEX(Modelos!$K$2:$K$301,MATCH($B471,Modelos!$C$2:$C$301,0))&amp;"","")</f>
        <v/>
      </c>
      <c r="T471" s="7" t="str">
        <f>IFERROR(INDEX(Modelos!$L$2:$L$301,MATCH($B471,Modelos!$C$2:$C$301,0))&amp;"","")</f>
        <v/>
      </c>
    </row>
    <row r="472" spans="1:20" x14ac:dyDescent="0.25">
      <c r="A472" s="5"/>
      <c r="B472" s="5"/>
      <c r="C472" s="5"/>
      <c r="D472" s="6"/>
      <c r="E472" s="5"/>
      <c r="F472" s="7" t="str">
        <f>IF(AND(A472&lt;&gt;"",B472&lt;&gt;"",C472&lt;&gt;"",D472&lt;&gt;""),LEFT(A472,2)&amp;LEFT(B472,4)&amp;LEFT(C472,2)&amp;SUBSTITUTE(UPPER(D472),"Ú","U"),"")</f>
        <v/>
      </c>
      <c r="G472" s="7" t="str">
        <f>IFERROR(INDEX(Modelos!$B$2:$B$301,MATCH($B472,Modelos!$C$2:$C$301,0))&amp;"","")</f>
        <v/>
      </c>
      <c r="H472" s="7" t="str">
        <f>IFERROR(INDEX(Modelos!$D$2:$D$301,MATCH($B472,Modelos!$C$2:$C$301,0))&amp;"","")</f>
        <v/>
      </c>
      <c r="I472" s="7" t="str">
        <f>IFERROR(INDEX(Modelos!$E$2:$E$301,MATCH($B472,Modelos!$C$2:$C$301,0))&amp;"","")</f>
        <v/>
      </c>
      <c r="J472" s="7" t="str">
        <f>IFERROR(INDEX(Modelos!$F$2:$F$301,MATCH($B472,Modelos!$C$2:$C$301,0))&amp;"","")</f>
        <v/>
      </c>
      <c r="K472" s="7" t="str">
        <f>IFERROR(INDEX(Modelos!$G$2:$G$301,MATCH($B472,Modelos!$C$2:$C$301,0))&amp;"","")</f>
        <v/>
      </c>
      <c r="L472" s="7" t="str">
        <f>IFERROR(INDEX(Diccionarios!$G$2:$G$201,MATCH($C472,Diccionarios!$H$2:$H$201,0))&amp;"","")</f>
        <v/>
      </c>
      <c r="M472" s="7" t="str">
        <f>IF(D472="","",D472&amp;"")</f>
        <v/>
      </c>
      <c r="N472" s="8" t="str">
        <f>IF($B472="","",IFERROR(INDEX(Modelos!$H$2:$H$301,MATCH($B472,Modelos!$C$2:$C$301,0)),""))</f>
        <v/>
      </c>
      <c r="O472" s="8" t="str">
        <f>IF($B472="","",IFERROR(INDEX(Modelos!$I$2:$I$301,MATCH($B472,Modelos!$C$2:$C$301,0)),""))</f>
        <v/>
      </c>
      <c r="P472" s="8" t="str">
        <f>IF($B472="","",IFERROR(INDEX(Modelos!$J$2:$J$301,MATCH($B472,Modelos!$C$2:$C$301,0)),""))</f>
        <v/>
      </c>
      <c r="Q472" s="7" t="str">
        <f>IFERROR(INDEX(Diccionarios!$B$2:$B$201,MATCH($A472,Diccionarios!$D$2:$D$201,0))&amp;"","")</f>
        <v/>
      </c>
      <c r="R472" s="7" t="str">
        <f>IFERROR(INDEX(Diccionarios!$C$2:$C$201,MATCH($A472,Diccionarios!$D$2:$D$201,0))&amp;"","")</f>
        <v/>
      </c>
      <c r="S472" s="7" t="str">
        <f>IFERROR(INDEX(Modelos!$K$2:$K$301,MATCH($B472,Modelos!$C$2:$C$301,0))&amp;"","")</f>
        <v/>
      </c>
      <c r="T472" s="7" t="str">
        <f>IFERROR(INDEX(Modelos!$L$2:$L$301,MATCH($B472,Modelos!$C$2:$C$301,0))&amp;"","")</f>
        <v/>
      </c>
    </row>
    <row r="473" spans="1:20" x14ac:dyDescent="0.25">
      <c r="A473" s="5"/>
      <c r="B473" s="5"/>
      <c r="C473" s="5"/>
      <c r="D473" s="6"/>
      <c r="E473" s="5"/>
      <c r="F473" s="7" t="str">
        <f>IF(AND(A473&lt;&gt;"",B473&lt;&gt;"",C473&lt;&gt;"",D473&lt;&gt;""),LEFT(A473,2)&amp;LEFT(B473,4)&amp;LEFT(C473,2)&amp;SUBSTITUTE(UPPER(D473),"Ú","U"),"")</f>
        <v/>
      </c>
      <c r="G473" s="7" t="str">
        <f>IFERROR(INDEX(Modelos!$B$2:$B$301,MATCH($B473,Modelos!$C$2:$C$301,0))&amp;"","")</f>
        <v/>
      </c>
      <c r="H473" s="7" t="str">
        <f>IFERROR(INDEX(Modelos!$D$2:$D$301,MATCH($B473,Modelos!$C$2:$C$301,0))&amp;"","")</f>
        <v/>
      </c>
      <c r="I473" s="7" t="str">
        <f>IFERROR(INDEX(Modelos!$E$2:$E$301,MATCH($B473,Modelos!$C$2:$C$301,0))&amp;"","")</f>
        <v/>
      </c>
      <c r="J473" s="7" t="str">
        <f>IFERROR(INDEX(Modelos!$F$2:$F$301,MATCH($B473,Modelos!$C$2:$C$301,0))&amp;"","")</f>
        <v/>
      </c>
      <c r="K473" s="7" t="str">
        <f>IFERROR(INDEX(Modelos!$G$2:$G$301,MATCH($B473,Modelos!$C$2:$C$301,0))&amp;"","")</f>
        <v/>
      </c>
      <c r="L473" s="7" t="str">
        <f>IFERROR(INDEX(Diccionarios!$G$2:$G$201,MATCH($C473,Diccionarios!$H$2:$H$201,0))&amp;"","")</f>
        <v/>
      </c>
      <c r="M473" s="7" t="str">
        <f>IF(D473="","",D473&amp;"")</f>
        <v/>
      </c>
      <c r="N473" s="8" t="str">
        <f>IF($B473="","",IFERROR(INDEX(Modelos!$H$2:$H$301,MATCH($B473,Modelos!$C$2:$C$301,0)),""))</f>
        <v/>
      </c>
      <c r="O473" s="8" t="str">
        <f>IF($B473="","",IFERROR(INDEX(Modelos!$I$2:$I$301,MATCH($B473,Modelos!$C$2:$C$301,0)),""))</f>
        <v/>
      </c>
      <c r="P473" s="8" t="str">
        <f>IF($B473="","",IFERROR(INDEX(Modelos!$J$2:$J$301,MATCH($B473,Modelos!$C$2:$C$301,0)),""))</f>
        <v/>
      </c>
      <c r="Q473" s="7" t="str">
        <f>IFERROR(INDEX(Diccionarios!$B$2:$B$201,MATCH($A473,Diccionarios!$D$2:$D$201,0))&amp;"","")</f>
        <v/>
      </c>
      <c r="R473" s="7" t="str">
        <f>IFERROR(INDEX(Diccionarios!$C$2:$C$201,MATCH($A473,Diccionarios!$D$2:$D$201,0))&amp;"","")</f>
        <v/>
      </c>
      <c r="S473" s="7" t="str">
        <f>IFERROR(INDEX(Modelos!$K$2:$K$301,MATCH($B473,Modelos!$C$2:$C$301,0))&amp;"","")</f>
        <v/>
      </c>
      <c r="T473" s="7" t="str">
        <f>IFERROR(INDEX(Modelos!$L$2:$L$301,MATCH($B473,Modelos!$C$2:$C$301,0))&amp;"","")</f>
        <v/>
      </c>
    </row>
    <row r="474" spans="1:20" x14ac:dyDescent="0.25">
      <c r="A474" s="5"/>
      <c r="B474" s="5"/>
      <c r="C474" s="5"/>
      <c r="D474" s="6"/>
      <c r="E474" s="5"/>
      <c r="F474" s="7" t="str">
        <f>IF(AND(A474&lt;&gt;"",B474&lt;&gt;"",C474&lt;&gt;"",D474&lt;&gt;""),LEFT(A474,2)&amp;LEFT(B474,4)&amp;LEFT(C474,2)&amp;SUBSTITUTE(UPPER(D474),"Ú","U"),"")</f>
        <v/>
      </c>
      <c r="G474" s="7" t="str">
        <f>IFERROR(INDEX(Modelos!$B$2:$B$301,MATCH($B474,Modelos!$C$2:$C$301,0))&amp;"","")</f>
        <v/>
      </c>
      <c r="H474" s="7" t="str">
        <f>IFERROR(INDEX(Modelos!$D$2:$D$301,MATCH($B474,Modelos!$C$2:$C$301,0))&amp;"","")</f>
        <v/>
      </c>
      <c r="I474" s="7" t="str">
        <f>IFERROR(INDEX(Modelos!$E$2:$E$301,MATCH($B474,Modelos!$C$2:$C$301,0))&amp;"","")</f>
        <v/>
      </c>
      <c r="J474" s="7" t="str">
        <f>IFERROR(INDEX(Modelos!$F$2:$F$301,MATCH($B474,Modelos!$C$2:$C$301,0))&amp;"","")</f>
        <v/>
      </c>
      <c r="K474" s="7" t="str">
        <f>IFERROR(INDEX(Modelos!$G$2:$G$301,MATCH($B474,Modelos!$C$2:$C$301,0))&amp;"","")</f>
        <v/>
      </c>
      <c r="L474" s="7" t="str">
        <f>IFERROR(INDEX(Diccionarios!$G$2:$G$201,MATCH($C474,Diccionarios!$H$2:$H$201,0))&amp;"","")</f>
        <v/>
      </c>
      <c r="M474" s="7" t="str">
        <f>IF(D474="","",D474&amp;"")</f>
        <v/>
      </c>
      <c r="N474" s="8" t="str">
        <f>IF($B474="","",IFERROR(INDEX(Modelos!$H$2:$H$301,MATCH($B474,Modelos!$C$2:$C$301,0)),""))</f>
        <v/>
      </c>
      <c r="O474" s="8" t="str">
        <f>IF($B474="","",IFERROR(INDEX(Modelos!$I$2:$I$301,MATCH($B474,Modelos!$C$2:$C$301,0)),""))</f>
        <v/>
      </c>
      <c r="P474" s="8" t="str">
        <f>IF($B474="","",IFERROR(INDEX(Modelos!$J$2:$J$301,MATCH($B474,Modelos!$C$2:$C$301,0)),""))</f>
        <v/>
      </c>
      <c r="Q474" s="7" t="str">
        <f>IFERROR(INDEX(Diccionarios!$B$2:$B$201,MATCH($A474,Diccionarios!$D$2:$D$201,0))&amp;"","")</f>
        <v/>
      </c>
      <c r="R474" s="7" t="str">
        <f>IFERROR(INDEX(Diccionarios!$C$2:$C$201,MATCH($A474,Diccionarios!$D$2:$D$201,0))&amp;"","")</f>
        <v/>
      </c>
      <c r="S474" s="7" t="str">
        <f>IFERROR(INDEX(Modelos!$K$2:$K$301,MATCH($B474,Modelos!$C$2:$C$301,0))&amp;"","")</f>
        <v/>
      </c>
      <c r="T474" s="7" t="str">
        <f>IFERROR(INDEX(Modelos!$L$2:$L$301,MATCH($B474,Modelos!$C$2:$C$301,0))&amp;"","")</f>
        <v/>
      </c>
    </row>
    <row r="475" spans="1:20" x14ac:dyDescent="0.25">
      <c r="A475" s="5"/>
      <c r="B475" s="5"/>
      <c r="C475" s="5"/>
      <c r="D475" s="6"/>
      <c r="E475" s="5"/>
      <c r="F475" s="7" t="str">
        <f>IF(AND(A475&lt;&gt;"",B475&lt;&gt;"",C475&lt;&gt;"",D475&lt;&gt;""),LEFT(A475,2)&amp;LEFT(B475,4)&amp;LEFT(C475,2)&amp;SUBSTITUTE(UPPER(D475),"Ú","U"),"")</f>
        <v/>
      </c>
      <c r="G475" s="7" t="str">
        <f>IFERROR(INDEX(Modelos!$B$2:$B$301,MATCH($B475,Modelos!$C$2:$C$301,0))&amp;"","")</f>
        <v/>
      </c>
      <c r="H475" s="7" t="str">
        <f>IFERROR(INDEX(Modelos!$D$2:$D$301,MATCH($B475,Modelos!$C$2:$C$301,0))&amp;"","")</f>
        <v/>
      </c>
      <c r="I475" s="7" t="str">
        <f>IFERROR(INDEX(Modelos!$E$2:$E$301,MATCH($B475,Modelos!$C$2:$C$301,0))&amp;"","")</f>
        <v/>
      </c>
      <c r="J475" s="7" t="str">
        <f>IFERROR(INDEX(Modelos!$F$2:$F$301,MATCH($B475,Modelos!$C$2:$C$301,0))&amp;"","")</f>
        <v/>
      </c>
      <c r="K475" s="7" t="str">
        <f>IFERROR(INDEX(Modelos!$G$2:$G$301,MATCH($B475,Modelos!$C$2:$C$301,0))&amp;"","")</f>
        <v/>
      </c>
      <c r="L475" s="7" t="str">
        <f>IFERROR(INDEX(Diccionarios!$G$2:$G$201,MATCH($C475,Diccionarios!$H$2:$H$201,0))&amp;"","")</f>
        <v/>
      </c>
      <c r="M475" s="7" t="str">
        <f>IF(D475="","",D475&amp;"")</f>
        <v/>
      </c>
      <c r="N475" s="8" t="str">
        <f>IF($B475="","",IFERROR(INDEX(Modelos!$H$2:$H$301,MATCH($B475,Modelos!$C$2:$C$301,0)),""))</f>
        <v/>
      </c>
      <c r="O475" s="8" t="str">
        <f>IF($B475="","",IFERROR(INDEX(Modelos!$I$2:$I$301,MATCH($B475,Modelos!$C$2:$C$301,0)),""))</f>
        <v/>
      </c>
      <c r="P475" s="8" t="str">
        <f>IF($B475="","",IFERROR(INDEX(Modelos!$J$2:$J$301,MATCH($B475,Modelos!$C$2:$C$301,0)),""))</f>
        <v/>
      </c>
      <c r="Q475" s="7" t="str">
        <f>IFERROR(INDEX(Diccionarios!$B$2:$B$201,MATCH($A475,Diccionarios!$D$2:$D$201,0))&amp;"","")</f>
        <v/>
      </c>
      <c r="R475" s="7" t="str">
        <f>IFERROR(INDEX(Diccionarios!$C$2:$C$201,MATCH($A475,Diccionarios!$D$2:$D$201,0))&amp;"","")</f>
        <v/>
      </c>
      <c r="S475" s="7" t="str">
        <f>IFERROR(INDEX(Modelos!$K$2:$K$301,MATCH($B475,Modelos!$C$2:$C$301,0))&amp;"","")</f>
        <v/>
      </c>
      <c r="T475" s="7" t="str">
        <f>IFERROR(INDEX(Modelos!$L$2:$L$301,MATCH($B475,Modelos!$C$2:$C$301,0))&amp;"","")</f>
        <v/>
      </c>
    </row>
    <row r="476" spans="1:20" x14ac:dyDescent="0.25">
      <c r="A476" s="5"/>
      <c r="B476" s="5"/>
      <c r="C476" s="5"/>
      <c r="D476" s="6"/>
      <c r="E476" s="5"/>
      <c r="F476" s="7" t="str">
        <f>IF(AND(A476&lt;&gt;"",B476&lt;&gt;"",C476&lt;&gt;"",D476&lt;&gt;""),LEFT(A476,2)&amp;LEFT(B476,4)&amp;LEFT(C476,2)&amp;SUBSTITUTE(UPPER(D476),"Ú","U"),"")</f>
        <v/>
      </c>
      <c r="G476" s="7" t="str">
        <f>IFERROR(INDEX(Modelos!$B$2:$B$301,MATCH($B476,Modelos!$C$2:$C$301,0))&amp;"","")</f>
        <v/>
      </c>
      <c r="H476" s="7" t="str">
        <f>IFERROR(INDEX(Modelos!$D$2:$D$301,MATCH($B476,Modelos!$C$2:$C$301,0))&amp;"","")</f>
        <v/>
      </c>
      <c r="I476" s="7" t="str">
        <f>IFERROR(INDEX(Modelos!$E$2:$E$301,MATCH($B476,Modelos!$C$2:$C$301,0))&amp;"","")</f>
        <v/>
      </c>
      <c r="J476" s="7" t="str">
        <f>IFERROR(INDEX(Modelos!$F$2:$F$301,MATCH($B476,Modelos!$C$2:$C$301,0))&amp;"","")</f>
        <v/>
      </c>
      <c r="K476" s="7" t="str">
        <f>IFERROR(INDEX(Modelos!$G$2:$G$301,MATCH($B476,Modelos!$C$2:$C$301,0))&amp;"","")</f>
        <v/>
      </c>
      <c r="L476" s="7" t="str">
        <f>IFERROR(INDEX(Diccionarios!$G$2:$G$201,MATCH($C476,Diccionarios!$H$2:$H$201,0))&amp;"","")</f>
        <v/>
      </c>
      <c r="M476" s="7" t="str">
        <f>IF(D476="","",D476&amp;"")</f>
        <v/>
      </c>
      <c r="N476" s="8" t="str">
        <f>IF($B476="","",IFERROR(INDEX(Modelos!$H$2:$H$301,MATCH($B476,Modelos!$C$2:$C$301,0)),""))</f>
        <v/>
      </c>
      <c r="O476" s="8" t="str">
        <f>IF($B476="","",IFERROR(INDEX(Modelos!$I$2:$I$301,MATCH($B476,Modelos!$C$2:$C$301,0)),""))</f>
        <v/>
      </c>
      <c r="P476" s="8" t="str">
        <f>IF($B476="","",IFERROR(INDEX(Modelos!$J$2:$J$301,MATCH($B476,Modelos!$C$2:$C$301,0)),""))</f>
        <v/>
      </c>
      <c r="Q476" s="7" t="str">
        <f>IFERROR(INDEX(Diccionarios!$B$2:$B$201,MATCH($A476,Diccionarios!$D$2:$D$201,0))&amp;"","")</f>
        <v/>
      </c>
      <c r="R476" s="7" t="str">
        <f>IFERROR(INDEX(Diccionarios!$C$2:$C$201,MATCH($A476,Diccionarios!$D$2:$D$201,0))&amp;"","")</f>
        <v/>
      </c>
      <c r="S476" s="7" t="str">
        <f>IFERROR(INDEX(Modelos!$K$2:$K$301,MATCH($B476,Modelos!$C$2:$C$301,0))&amp;"","")</f>
        <v/>
      </c>
      <c r="T476" s="7" t="str">
        <f>IFERROR(INDEX(Modelos!$L$2:$L$301,MATCH($B476,Modelos!$C$2:$C$301,0))&amp;"","")</f>
        <v/>
      </c>
    </row>
    <row r="477" spans="1:20" x14ac:dyDescent="0.25">
      <c r="A477" s="5"/>
      <c r="B477" s="5"/>
      <c r="C477" s="5"/>
      <c r="D477" s="6"/>
      <c r="E477" s="5"/>
      <c r="F477" s="7" t="str">
        <f>IF(AND(A477&lt;&gt;"",B477&lt;&gt;"",C477&lt;&gt;"",D477&lt;&gt;""),LEFT(A477,2)&amp;LEFT(B477,4)&amp;LEFT(C477,2)&amp;SUBSTITUTE(UPPER(D477),"Ú","U"),"")</f>
        <v/>
      </c>
      <c r="G477" s="7" t="str">
        <f>IFERROR(INDEX(Modelos!$B$2:$B$301,MATCH($B477,Modelos!$C$2:$C$301,0))&amp;"","")</f>
        <v/>
      </c>
      <c r="H477" s="7" t="str">
        <f>IFERROR(INDEX(Modelos!$D$2:$D$301,MATCH($B477,Modelos!$C$2:$C$301,0))&amp;"","")</f>
        <v/>
      </c>
      <c r="I477" s="7" t="str">
        <f>IFERROR(INDEX(Modelos!$E$2:$E$301,MATCH($B477,Modelos!$C$2:$C$301,0))&amp;"","")</f>
        <v/>
      </c>
      <c r="J477" s="7" t="str">
        <f>IFERROR(INDEX(Modelos!$F$2:$F$301,MATCH($B477,Modelos!$C$2:$C$301,0))&amp;"","")</f>
        <v/>
      </c>
      <c r="K477" s="7" t="str">
        <f>IFERROR(INDEX(Modelos!$G$2:$G$301,MATCH($B477,Modelos!$C$2:$C$301,0))&amp;"","")</f>
        <v/>
      </c>
      <c r="L477" s="7" t="str">
        <f>IFERROR(INDEX(Diccionarios!$G$2:$G$201,MATCH($C477,Diccionarios!$H$2:$H$201,0))&amp;"","")</f>
        <v/>
      </c>
      <c r="M477" s="7" t="str">
        <f>IF(D477="","",D477&amp;"")</f>
        <v/>
      </c>
      <c r="N477" s="8" t="str">
        <f>IF($B477="","",IFERROR(INDEX(Modelos!$H$2:$H$301,MATCH($B477,Modelos!$C$2:$C$301,0)),""))</f>
        <v/>
      </c>
      <c r="O477" s="8" t="str">
        <f>IF($B477="","",IFERROR(INDEX(Modelos!$I$2:$I$301,MATCH($B477,Modelos!$C$2:$C$301,0)),""))</f>
        <v/>
      </c>
      <c r="P477" s="8" t="str">
        <f>IF($B477="","",IFERROR(INDEX(Modelos!$J$2:$J$301,MATCH($B477,Modelos!$C$2:$C$301,0)),""))</f>
        <v/>
      </c>
      <c r="Q477" s="7" t="str">
        <f>IFERROR(INDEX(Diccionarios!$B$2:$B$201,MATCH($A477,Diccionarios!$D$2:$D$201,0))&amp;"","")</f>
        <v/>
      </c>
      <c r="R477" s="7" t="str">
        <f>IFERROR(INDEX(Diccionarios!$C$2:$C$201,MATCH($A477,Diccionarios!$D$2:$D$201,0))&amp;"","")</f>
        <v/>
      </c>
      <c r="S477" s="7" t="str">
        <f>IFERROR(INDEX(Modelos!$K$2:$K$301,MATCH($B477,Modelos!$C$2:$C$301,0))&amp;"","")</f>
        <v/>
      </c>
      <c r="T477" s="7" t="str">
        <f>IFERROR(INDEX(Modelos!$L$2:$L$301,MATCH($B477,Modelos!$C$2:$C$301,0))&amp;"","")</f>
        <v/>
      </c>
    </row>
    <row r="478" spans="1:20" x14ac:dyDescent="0.25">
      <c r="A478" s="5"/>
      <c r="B478" s="5"/>
      <c r="C478" s="5"/>
      <c r="D478" s="6"/>
      <c r="E478" s="5"/>
      <c r="F478" s="7" t="str">
        <f>IF(AND(A478&lt;&gt;"",B478&lt;&gt;"",C478&lt;&gt;"",D478&lt;&gt;""),LEFT(A478,2)&amp;LEFT(B478,4)&amp;LEFT(C478,2)&amp;SUBSTITUTE(UPPER(D478),"Ú","U"),"")</f>
        <v/>
      </c>
      <c r="G478" s="7" t="str">
        <f>IFERROR(INDEX(Modelos!$B$2:$B$301,MATCH($B478,Modelos!$C$2:$C$301,0))&amp;"","")</f>
        <v/>
      </c>
      <c r="H478" s="7" t="str">
        <f>IFERROR(INDEX(Modelos!$D$2:$D$301,MATCH($B478,Modelos!$C$2:$C$301,0))&amp;"","")</f>
        <v/>
      </c>
      <c r="I478" s="7" t="str">
        <f>IFERROR(INDEX(Modelos!$E$2:$E$301,MATCH($B478,Modelos!$C$2:$C$301,0))&amp;"","")</f>
        <v/>
      </c>
      <c r="J478" s="7" t="str">
        <f>IFERROR(INDEX(Modelos!$F$2:$F$301,MATCH($B478,Modelos!$C$2:$C$301,0))&amp;"","")</f>
        <v/>
      </c>
      <c r="K478" s="7" t="str">
        <f>IFERROR(INDEX(Modelos!$G$2:$G$301,MATCH($B478,Modelos!$C$2:$C$301,0))&amp;"","")</f>
        <v/>
      </c>
      <c r="L478" s="7" t="str">
        <f>IFERROR(INDEX(Diccionarios!$G$2:$G$201,MATCH($C478,Diccionarios!$H$2:$H$201,0))&amp;"","")</f>
        <v/>
      </c>
      <c r="M478" s="7" t="str">
        <f>IF(D478="","",D478&amp;"")</f>
        <v/>
      </c>
      <c r="N478" s="8" t="str">
        <f>IF($B478="","",IFERROR(INDEX(Modelos!$H$2:$H$301,MATCH($B478,Modelos!$C$2:$C$301,0)),""))</f>
        <v/>
      </c>
      <c r="O478" s="8" t="str">
        <f>IF($B478="","",IFERROR(INDEX(Modelos!$I$2:$I$301,MATCH($B478,Modelos!$C$2:$C$301,0)),""))</f>
        <v/>
      </c>
      <c r="P478" s="8" t="str">
        <f>IF($B478="","",IFERROR(INDEX(Modelos!$J$2:$J$301,MATCH($B478,Modelos!$C$2:$C$301,0)),""))</f>
        <v/>
      </c>
      <c r="Q478" s="7" t="str">
        <f>IFERROR(INDEX(Diccionarios!$B$2:$B$201,MATCH($A478,Diccionarios!$D$2:$D$201,0))&amp;"","")</f>
        <v/>
      </c>
      <c r="R478" s="7" t="str">
        <f>IFERROR(INDEX(Diccionarios!$C$2:$C$201,MATCH($A478,Diccionarios!$D$2:$D$201,0))&amp;"","")</f>
        <v/>
      </c>
      <c r="S478" s="7" t="str">
        <f>IFERROR(INDEX(Modelos!$K$2:$K$301,MATCH($B478,Modelos!$C$2:$C$301,0))&amp;"","")</f>
        <v/>
      </c>
      <c r="T478" s="7" t="str">
        <f>IFERROR(INDEX(Modelos!$L$2:$L$301,MATCH($B478,Modelos!$C$2:$C$301,0))&amp;"","")</f>
        <v/>
      </c>
    </row>
    <row r="479" spans="1:20" x14ac:dyDescent="0.25">
      <c r="A479" s="5"/>
      <c r="B479" s="5"/>
      <c r="C479" s="5"/>
      <c r="D479" s="6"/>
      <c r="E479" s="5"/>
      <c r="F479" s="7" t="str">
        <f>IF(AND(A479&lt;&gt;"",B479&lt;&gt;"",C479&lt;&gt;"",D479&lt;&gt;""),LEFT(A479,2)&amp;LEFT(B479,4)&amp;LEFT(C479,2)&amp;SUBSTITUTE(UPPER(D479),"Ú","U"),"")</f>
        <v/>
      </c>
      <c r="G479" s="7" t="str">
        <f>IFERROR(INDEX(Modelos!$B$2:$B$301,MATCH($B479,Modelos!$C$2:$C$301,0))&amp;"","")</f>
        <v/>
      </c>
      <c r="H479" s="7" t="str">
        <f>IFERROR(INDEX(Modelos!$D$2:$D$301,MATCH($B479,Modelos!$C$2:$C$301,0))&amp;"","")</f>
        <v/>
      </c>
      <c r="I479" s="7" t="str">
        <f>IFERROR(INDEX(Modelos!$E$2:$E$301,MATCH($B479,Modelos!$C$2:$C$301,0))&amp;"","")</f>
        <v/>
      </c>
      <c r="J479" s="7" t="str">
        <f>IFERROR(INDEX(Modelos!$F$2:$F$301,MATCH($B479,Modelos!$C$2:$C$301,0))&amp;"","")</f>
        <v/>
      </c>
      <c r="K479" s="7" t="str">
        <f>IFERROR(INDEX(Modelos!$G$2:$G$301,MATCH($B479,Modelos!$C$2:$C$301,0))&amp;"","")</f>
        <v/>
      </c>
      <c r="L479" s="7" t="str">
        <f>IFERROR(INDEX(Diccionarios!$G$2:$G$201,MATCH($C479,Diccionarios!$H$2:$H$201,0))&amp;"","")</f>
        <v/>
      </c>
      <c r="M479" s="7" t="str">
        <f>IF(D479="","",D479&amp;"")</f>
        <v/>
      </c>
      <c r="N479" s="8" t="str">
        <f>IF($B479="","",IFERROR(INDEX(Modelos!$H$2:$H$301,MATCH($B479,Modelos!$C$2:$C$301,0)),""))</f>
        <v/>
      </c>
      <c r="O479" s="8" t="str">
        <f>IF($B479="","",IFERROR(INDEX(Modelos!$I$2:$I$301,MATCH($B479,Modelos!$C$2:$C$301,0)),""))</f>
        <v/>
      </c>
      <c r="P479" s="8" t="str">
        <f>IF($B479="","",IFERROR(INDEX(Modelos!$J$2:$J$301,MATCH($B479,Modelos!$C$2:$C$301,0)),""))</f>
        <v/>
      </c>
      <c r="Q479" s="7" t="str">
        <f>IFERROR(INDEX(Diccionarios!$B$2:$B$201,MATCH($A479,Diccionarios!$D$2:$D$201,0))&amp;"","")</f>
        <v/>
      </c>
      <c r="R479" s="7" t="str">
        <f>IFERROR(INDEX(Diccionarios!$C$2:$C$201,MATCH($A479,Diccionarios!$D$2:$D$201,0))&amp;"","")</f>
        <v/>
      </c>
      <c r="S479" s="7" t="str">
        <f>IFERROR(INDEX(Modelos!$K$2:$K$301,MATCH($B479,Modelos!$C$2:$C$301,0))&amp;"","")</f>
        <v/>
      </c>
      <c r="T479" s="7" t="str">
        <f>IFERROR(INDEX(Modelos!$L$2:$L$301,MATCH($B479,Modelos!$C$2:$C$301,0))&amp;"","")</f>
        <v/>
      </c>
    </row>
    <row r="480" spans="1:20" x14ac:dyDescent="0.25">
      <c r="A480" s="5"/>
      <c r="B480" s="5"/>
      <c r="C480" s="5"/>
      <c r="D480" s="6"/>
      <c r="E480" s="5"/>
      <c r="F480" s="7" t="str">
        <f>IF(AND(A480&lt;&gt;"",B480&lt;&gt;"",C480&lt;&gt;"",D480&lt;&gt;""),LEFT(A480,2)&amp;LEFT(B480,4)&amp;LEFT(C480,2)&amp;SUBSTITUTE(UPPER(D480),"Ú","U"),"")</f>
        <v/>
      </c>
      <c r="G480" s="7" t="str">
        <f>IFERROR(INDEX(Modelos!$B$2:$B$301,MATCH($B480,Modelos!$C$2:$C$301,0))&amp;"","")</f>
        <v/>
      </c>
      <c r="H480" s="7" t="str">
        <f>IFERROR(INDEX(Modelos!$D$2:$D$301,MATCH($B480,Modelos!$C$2:$C$301,0))&amp;"","")</f>
        <v/>
      </c>
      <c r="I480" s="7" t="str">
        <f>IFERROR(INDEX(Modelos!$E$2:$E$301,MATCH($B480,Modelos!$C$2:$C$301,0))&amp;"","")</f>
        <v/>
      </c>
      <c r="J480" s="7" t="str">
        <f>IFERROR(INDEX(Modelos!$F$2:$F$301,MATCH($B480,Modelos!$C$2:$C$301,0))&amp;"","")</f>
        <v/>
      </c>
      <c r="K480" s="7" t="str">
        <f>IFERROR(INDEX(Modelos!$G$2:$G$301,MATCH($B480,Modelos!$C$2:$C$301,0))&amp;"","")</f>
        <v/>
      </c>
      <c r="L480" s="7" t="str">
        <f>IFERROR(INDEX(Diccionarios!$G$2:$G$201,MATCH($C480,Diccionarios!$H$2:$H$201,0))&amp;"","")</f>
        <v/>
      </c>
      <c r="M480" s="7" t="str">
        <f>IF(D480="","",D480&amp;"")</f>
        <v/>
      </c>
      <c r="N480" s="8" t="str">
        <f>IF($B480="","",IFERROR(INDEX(Modelos!$H$2:$H$301,MATCH($B480,Modelos!$C$2:$C$301,0)),""))</f>
        <v/>
      </c>
      <c r="O480" s="8" t="str">
        <f>IF($B480="","",IFERROR(INDEX(Modelos!$I$2:$I$301,MATCH($B480,Modelos!$C$2:$C$301,0)),""))</f>
        <v/>
      </c>
      <c r="P480" s="8" t="str">
        <f>IF($B480="","",IFERROR(INDEX(Modelos!$J$2:$J$301,MATCH($B480,Modelos!$C$2:$C$301,0)),""))</f>
        <v/>
      </c>
      <c r="Q480" s="7" t="str">
        <f>IFERROR(INDEX(Diccionarios!$B$2:$B$201,MATCH($A480,Diccionarios!$D$2:$D$201,0))&amp;"","")</f>
        <v/>
      </c>
      <c r="R480" s="7" t="str">
        <f>IFERROR(INDEX(Diccionarios!$C$2:$C$201,MATCH($A480,Diccionarios!$D$2:$D$201,0))&amp;"","")</f>
        <v/>
      </c>
      <c r="S480" s="7" t="str">
        <f>IFERROR(INDEX(Modelos!$K$2:$K$301,MATCH($B480,Modelos!$C$2:$C$301,0))&amp;"","")</f>
        <v/>
      </c>
      <c r="T480" s="7" t="str">
        <f>IFERROR(INDEX(Modelos!$L$2:$L$301,MATCH($B480,Modelos!$C$2:$C$301,0))&amp;"","")</f>
        <v/>
      </c>
    </row>
    <row r="481" spans="1:20" x14ac:dyDescent="0.25">
      <c r="A481" s="5"/>
      <c r="B481" s="5"/>
      <c r="C481" s="5"/>
      <c r="D481" s="6"/>
      <c r="E481" s="5"/>
      <c r="F481" s="7" t="str">
        <f>IF(AND(A481&lt;&gt;"",B481&lt;&gt;"",C481&lt;&gt;"",D481&lt;&gt;""),LEFT(A481,2)&amp;LEFT(B481,4)&amp;LEFT(C481,2)&amp;SUBSTITUTE(UPPER(D481),"Ú","U"),"")</f>
        <v/>
      </c>
      <c r="G481" s="7" t="str">
        <f>IFERROR(INDEX(Modelos!$B$2:$B$301,MATCH($B481,Modelos!$C$2:$C$301,0))&amp;"","")</f>
        <v/>
      </c>
      <c r="H481" s="7" t="str">
        <f>IFERROR(INDEX(Modelos!$D$2:$D$301,MATCH($B481,Modelos!$C$2:$C$301,0))&amp;"","")</f>
        <v/>
      </c>
      <c r="I481" s="7" t="str">
        <f>IFERROR(INDEX(Modelos!$E$2:$E$301,MATCH($B481,Modelos!$C$2:$C$301,0))&amp;"","")</f>
        <v/>
      </c>
      <c r="J481" s="7" t="str">
        <f>IFERROR(INDEX(Modelos!$F$2:$F$301,MATCH($B481,Modelos!$C$2:$C$301,0))&amp;"","")</f>
        <v/>
      </c>
      <c r="K481" s="7" t="str">
        <f>IFERROR(INDEX(Modelos!$G$2:$G$301,MATCH($B481,Modelos!$C$2:$C$301,0))&amp;"","")</f>
        <v/>
      </c>
      <c r="L481" s="7" t="str">
        <f>IFERROR(INDEX(Diccionarios!$G$2:$G$201,MATCH($C481,Diccionarios!$H$2:$H$201,0))&amp;"","")</f>
        <v/>
      </c>
      <c r="M481" s="7" t="str">
        <f>IF(D481="","",D481&amp;"")</f>
        <v/>
      </c>
      <c r="N481" s="8" t="str">
        <f>IF($B481="","",IFERROR(INDEX(Modelos!$H$2:$H$301,MATCH($B481,Modelos!$C$2:$C$301,0)),""))</f>
        <v/>
      </c>
      <c r="O481" s="8" t="str">
        <f>IF($B481="","",IFERROR(INDEX(Modelos!$I$2:$I$301,MATCH($B481,Modelos!$C$2:$C$301,0)),""))</f>
        <v/>
      </c>
      <c r="P481" s="8" t="str">
        <f>IF($B481="","",IFERROR(INDEX(Modelos!$J$2:$J$301,MATCH($B481,Modelos!$C$2:$C$301,0)),""))</f>
        <v/>
      </c>
      <c r="Q481" s="7" t="str">
        <f>IFERROR(INDEX(Diccionarios!$B$2:$B$201,MATCH($A481,Diccionarios!$D$2:$D$201,0))&amp;"","")</f>
        <v/>
      </c>
      <c r="R481" s="7" t="str">
        <f>IFERROR(INDEX(Diccionarios!$C$2:$C$201,MATCH($A481,Diccionarios!$D$2:$D$201,0))&amp;"","")</f>
        <v/>
      </c>
      <c r="S481" s="7" t="str">
        <f>IFERROR(INDEX(Modelos!$K$2:$K$301,MATCH($B481,Modelos!$C$2:$C$301,0))&amp;"","")</f>
        <v/>
      </c>
      <c r="T481" s="7" t="str">
        <f>IFERROR(INDEX(Modelos!$L$2:$L$301,MATCH($B481,Modelos!$C$2:$C$301,0))&amp;"","")</f>
        <v/>
      </c>
    </row>
    <row r="482" spans="1:20" x14ac:dyDescent="0.25">
      <c r="A482" s="5"/>
      <c r="B482" s="5"/>
      <c r="C482" s="5"/>
      <c r="D482" s="6"/>
      <c r="E482" s="5"/>
      <c r="F482" s="7" t="str">
        <f>IF(AND(A482&lt;&gt;"",B482&lt;&gt;"",C482&lt;&gt;"",D482&lt;&gt;""),LEFT(A482,2)&amp;LEFT(B482,4)&amp;LEFT(C482,2)&amp;SUBSTITUTE(UPPER(D482),"Ú","U"),"")</f>
        <v/>
      </c>
      <c r="G482" s="7" t="str">
        <f>IFERROR(INDEX(Modelos!$B$2:$B$301,MATCH($B482,Modelos!$C$2:$C$301,0))&amp;"","")</f>
        <v/>
      </c>
      <c r="H482" s="7" t="str">
        <f>IFERROR(INDEX(Modelos!$D$2:$D$301,MATCH($B482,Modelos!$C$2:$C$301,0))&amp;"","")</f>
        <v/>
      </c>
      <c r="I482" s="7" t="str">
        <f>IFERROR(INDEX(Modelos!$E$2:$E$301,MATCH($B482,Modelos!$C$2:$C$301,0))&amp;"","")</f>
        <v/>
      </c>
      <c r="J482" s="7" t="str">
        <f>IFERROR(INDEX(Modelos!$F$2:$F$301,MATCH($B482,Modelos!$C$2:$C$301,0))&amp;"","")</f>
        <v/>
      </c>
      <c r="K482" s="7" t="str">
        <f>IFERROR(INDEX(Modelos!$G$2:$G$301,MATCH($B482,Modelos!$C$2:$C$301,0))&amp;"","")</f>
        <v/>
      </c>
      <c r="L482" s="7" t="str">
        <f>IFERROR(INDEX(Diccionarios!$G$2:$G$201,MATCH($C482,Diccionarios!$H$2:$H$201,0))&amp;"","")</f>
        <v/>
      </c>
      <c r="M482" s="7" t="str">
        <f>IF(D482="","",D482&amp;"")</f>
        <v/>
      </c>
      <c r="N482" s="8" t="str">
        <f>IF($B482="","",IFERROR(INDEX(Modelos!$H$2:$H$301,MATCH($B482,Modelos!$C$2:$C$301,0)),""))</f>
        <v/>
      </c>
      <c r="O482" s="8" t="str">
        <f>IF($B482="","",IFERROR(INDEX(Modelos!$I$2:$I$301,MATCH($B482,Modelos!$C$2:$C$301,0)),""))</f>
        <v/>
      </c>
      <c r="P482" s="8" t="str">
        <f>IF($B482="","",IFERROR(INDEX(Modelos!$J$2:$J$301,MATCH($B482,Modelos!$C$2:$C$301,0)),""))</f>
        <v/>
      </c>
      <c r="Q482" s="7" t="str">
        <f>IFERROR(INDEX(Diccionarios!$B$2:$B$201,MATCH($A482,Diccionarios!$D$2:$D$201,0))&amp;"","")</f>
        <v/>
      </c>
      <c r="R482" s="7" t="str">
        <f>IFERROR(INDEX(Diccionarios!$C$2:$C$201,MATCH($A482,Diccionarios!$D$2:$D$201,0))&amp;"","")</f>
        <v/>
      </c>
      <c r="S482" s="7" t="str">
        <f>IFERROR(INDEX(Modelos!$K$2:$K$301,MATCH($B482,Modelos!$C$2:$C$301,0))&amp;"","")</f>
        <v/>
      </c>
      <c r="T482" s="7" t="str">
        <f>IFERROR(INDEX(Modelos!$L$2:$L$301,MATCH($B482,Modelos!$C$2:$C$301,0))&amp;"","")</f>
        <v/>
      </c>
    </row>
    <row r="483" spans="1:20" x14ac:dyDescent="0.25">
      <c r="A483" s="5"/>
      <c r="B483" s="5"/>
      <c r="C483" s="5"/>
      <c r="D483" s="6"/>
      <c r="E483" s="5"/>
      <c r="F483" s="7" t="str">
        <f>IF(AND(A483&lt;&gt;"",B483&lt;&gt;"",C483&lt;&gt;"",D483&lt;&gt;""),LEFT(A483,2)&amp;LEFT(B483,4)&amp;LEFT(C483,2)&amp;SUBSTITUTE(UPPER(D483),"Ú","U"),"")</f>
        <v/>
      </c>
      <c r="G483" s="7" t="str">
        <f>IFERROR(INDEX(Modelos!$B$2:$B$301,MATCH($B483,Modelos!$C$2:$C$301,0))&amp;"","")</f>
        <v/>
      </c>
      <c r="H483" s="7" t="str">
        <f>IFERROR(INDEX(Modelos!$D$2:$D$301,MATCH($B483,Modelos!$C$2:$C$301,0))&amp;"","")</f>
        <v/>
      </c>
      <c r="I483" s="7" t="str">
        <f>IFERROR(INDEX(Modelos!$E$2:$E$301,MATCH($B483,Modelos!$C$2:$C$301,0))&amp;"","")</f>
        <v/>
      </c>
      <c r="J483" s="7" t="str">
        <f>IFERROR(INDEX(Modelos!$F$2:$F$301,MATCH($B483,Modelos!$C$2:$C$301,0))&amp;"","")</f>
        <v/>
      </c>
      <c r="K483" s="7" t="str">
        <f>IFERROR(INDEX(Modelos!$G$2:$G$301,MATCH($B483,Modelos!$C$2:$C$301,0))&amp;"","")</f>
        <v/>
      </c>
      <c r="L483" s="7" t="str">
        <f>IFERROR(INDEX(Diccionarios!$G$2:$G$201,MATCH($C483,Diccionarios!$H$2:$H$201,0))&amp;"","")</f>
        <v/>
      </c>
      <c r="M483" s="7" t="str">
        <f>IF(D483="","",D483&amp;"")</f>
        <v/>
      </c>
      <c r="N483" s="8" t="str">
        <f>IF($B483="","",IFERROR(INDEX(Modelos!$H$2:$H$301,MATCH($B483,Modelos!$C$2:$C$301,0)),""))</f>
        <v/>
      </c>
      <c r="O483" s="8" t="str">
        <f>IF($B483="","",IFERROR(INDEX(Modelos!$I$2:$I$301,MATCH($B483,Modelos!$C$2:$C$301,0)),""))</f>
        <v/>
      </c>
      <c r="P483" s="8" t="str">
        <f>IF($B483="","",IFERROR(INDEX(Modelos!$J$2:$J$301,MATCH($B483,Modelos!$C$2:$C$301,0)),""))</f>
        <v/>
      </c>
      <c r="Q483" s="7" t="str">
        <f>IFERROR(INDEX(Diccionarios!$B$2:$B$201,MATCH($A483,Diccionarios!$D$2:$D$201,0))&amp;"","")</f>
        <v/>
      </c>
      <c r="R483" s="7" t="str">
        <f>IFERROR(INDEX(Diccionarios!$C$2:$C$201,MATCH($A483,Diccionarios!$D$2:$D$201,0))&amp;"","")</f>
        <v/>
      </c>
      <c r="S483" s="7" t="str">
        <f>IFERROR(INDEX(Modelos!$K$2:$K$301,MATCH($B483,Modelos!$C$2:$C$301,0))&amp;"","")</f>
        <v/>
      </c>
      <c r="T483" s="7" t="str">
        <f>IFERROR(INDEX(Modelos!$L$2:$L$301,MATCH($B483,Modelos!$C$2:$C$301,0))&amp;"","")</f>
        <v/>
      </c>
    </row>
    <row r="484" spans="1:20" x14ac:dyDescent="0.25">
      <c r="A484" s="5"/>
      <c r="B484" s="5"/>
      <c r="C484" s="5"/>
      <c r="D484" s="6"/>
      <c r="E484" s="5"/>
      <c r="F484" s="7" t="str">
        <f>IF(AND(A484&lt;&gt;"",B484&lt;&gt;"",C484&lt;&gt;"",D484&lt;&gt;""),LEFT(A484,2)&amp;LEFT(B484,4)&amp;LEFT(C484,2)&amp;SUBSTITUTE(UPPER(D484),"Ú","U"),"")</f>
        <v/>
      </c>
      <c r="G484" s="7" t="str">
        <f>IFERROR(INDEX(Modelos!$B$2:$B$301,MATCH($B484,Modelos!$C$2:$C$301,0))&amp;"","")</f>
        <v/>
      </c>
      <c r="H484" s="7" t="str">
        <f>IFERROR(INDEX(Modelos!$D$2:$D$301,MATCH($B484,Modelos!$C$2:$C$301,0))&amp;"","")</f>
        <v/>
      </c>
      <c r="I484" s="7" t="str">
        <f>IFERROR(INDEX(Modelos!$E$2:$E$301,MATCH($B484,Modelos!$C$2:$C$301,0))&amp;"","")</f>
        <v/>
      </c>
      <c r="J484" s="7" t="str">
        <f>IFERROR(INDEX(Modelos!$F$2:$F$301,MATCH($B484,Modelos!$C$2:$C$301,0))&amp;"","")</f>
        <v/>
      </c>
      <c r="K484" s="7" t="str">
        <f>IFERROR(INDEX(Modelos!$G$2:$G$301,MATCH($B484,Modelos!$C$2:$C$301,0))&amp;"","")</f>
        <v/>
      </c>
      <c r="L484" s="7" t="str">
        <f>IFERROR(INDEX(Diccionarios!$G$2:$G$201,MATCH($C484,Diccionarios!$H$2:$H$201,0))&amp;"","")</f>
        <v/>
      </c>
      <c r="M484" s="7" t="str">
        <f>IF(D484="","",D484&amp;"")</f>
        <v/>
      </c>
      <c r="N484" s="8" t="str">
        <f>IF($B484="","",IFERROR(INDEX(Modelos!$H$2:$H$301,MATCH($B484,Modelos!$C$2:$C$301,0)),""))</f>
        <v/>
      </c>
      <c r="O484" s="8" t="str">
        <f>IF($B484="","",IFERROR(INDEX(Modelos!$I$2:$I$301,MATCH($B484,Modelos!$C$2:$C$301,0)),""))</f>
        <v/>
      </c>
      <c r="P484" s="8" t="str">
        <f>IF($B484="","",IFERROR(INDEX(Modelos!$J$2:$J$301,MATCH($B484,Modelos!$C$2:$C$301,0)),""))</f>
        <v/>
      </c>
      <c r="Q484" s="7" t="str">
        <f>IFERROR(INDEX(Diccionarios!$B$2:$B$201,MATCH($A484,Diccionarios!$D$2:$D$201,0))&amp;"","")</f>
        <v/>
      </c>
      <c r="R484" s="7" t="str">
        <f>IFERROR(INDEX(Diccionarios!$C$2:$C$201,MATCH($A484,Diccionarios!$D$2:$D$201,0))&amp;"","")</f>
        <v/>
      </c>
      <c r="S484" s="7" t="str">
        <f>IFERROR(INDEX(Modelos!$K$2:$K$301,MATCH($B484,Modelos!$C$2:$C$301,0))&amp;"","")</f>
        <v/>
      </c>
      <c r="T484" s="7" t="str">
        <f>IFERROR(INDEX(Modelos!$L$2:$L$301,MATCH($B484,Modelos!$C$2:$C$301,0))&amp;"","")</f>
        <v/>
      </c>
    </row>
    <row r="485" spans="1:20" x14ac:dyDescent="0.25">
      <c r="A485" s="5"/>
      <c r="B485" s="5"/>
      <c r="C485" s="5"/>
      <c r="D485" s="6"/>
      <c r="E485" s="5"/>
      <c r="F485" s="7" t="str">
        <f>IF(AND(A485&lt;&gt;"",B485&lt;&gt;"",C485&lt;&gt;"",D485&lt;&gt;""),LEFT(A485,2)&amp;LEFT(B485,4)&amp;LEFT(C485,2)&amp;SUBSTITUTE(UPPER(D485),"Ú","U"),"")</f>
        <v/>
      </c>
      <c r="G485" s="7" t="str">
        <f>IFERROR(INDEX(Modelos!$B$2:$B$301,MATCH($B485,Modelos!$C$2:$C$301,0))&amp;"","")</f>
        <v/>
      </c>
      <c r="H485" s="7" t="str">
        <f>IFERROR(INDEX(Modelos!$D$2:$D$301,MATCH($B485,Modelos!$C$2:$C$301,0))&amp;"","")</f>
        <v/>
      </c>
      <c r="I485" s="7" t="str">
        <f>IFERROR(INDEX(Modelos!$E$2:$E$301,MATCH($B485,Modelos!$C$2:$C$301,0))&amp;"","")</f>
        <v/>
      </c>
      <c r="J485" s="7" t="str">
        <f>IFERROR(INDEX(Modelos!$F$2:$F$301,MATCH($B485,Modelos!$C$2:$C$301,0))&amp;"","")</f>
        <v/>
      </c>
      <c r="K485" s="7" t="str">
        <f>IFERROR(INDEX(Modelos!$G$2:$G$301,MATCH($B485,Modelos!$C$2:$C$301,0))&amp;"","")</f>
        <v/>
      </c>
      <c r="L485" s="7" t="str">
        <f>IFERROR(INDEX(Diccionarios!$G$2:$G$201,MATCH($C485,Diccionarios!$H$2:$H$201,0))&amp;"","")</f>
        <v/>
      </c>
      <c r="M485" s="7" t="str">
        <f>IF(D485="","",D485&amp;"")</f>
        <v/>
      </c>
      <c r="N485" s="8" t="str">
        <f>IF($B485="","",IFERROR(INDEX(Modelos!$H$2:$H$301,MATCH($B485,Modelos!$C$2:$C$301,0)),""))</f>
        <v/>
      </c>
      <c r="O485" s="8" t="str">
        <f>IF($B485="","",IFERROR(INDEX(Modelos!$I$2:$I$301,MATCH($B485,Modelos!$C$2:$C$301,0)),""))</f>
        <v/>
      </c>
      <c r="P485" s="8" t="str">
        <f>IF($B485="","",IFERROR(INDEX(Modelos!$J$2:$J$301,MATCH($B485,Modelos!$C$2:$C$301,0)),""))</f>
        <v/>
      </c>
      <c r="Q485" s="7" t="str">
        <f>IFERROR(INDEX(Diccionarios!$B$2:$B$201,MATCH($A485,Diccionarios!$D$2:$D$201,0))&amp;"","")</f>
        <v/>
      </c>
      <c r="R485" s="7" t="str">
        <f>IFERROR(INDEX(Diccionarios!$C$2:$C$201,MATCH($A485,Diccionarios!$D$2:$D$201,0))&amp;"","")</f>
        <v/>
      </c>
      <c r="S485" s="7" t="str">
        <f>IFERROR(INDEX(Modelos!$K$2:$K$301,MATCH($B485,Modelos!$C$2:$C$301,0))&amp;"","")</f>
        <v/>
      </c>
      <c r="T485" s="7" t="str">
        <f>IFERROR(INDEX(Modelos!$L$2:$L$301,MATCH($B485,Modelos!$C$2:$C$301,0))&amp;"","")</f>
        <v/>
      </c>
    </row>
    <row r="486" spans="1:20" x14ac:dyDescent="0.25">
      <c r="A486" s="5"/>
      <c r="B486" s="5"/>
      <c r="C486" s="5"/>
      <c r="D486" s="6"/>
      <c r="E486" s="5"/>
      <c r="F486" s="7" t="str">
        <f>IF(AND(A486&lt;&gt;"",B486&lt;&gt;"",C486&lt;&gt;"",D486&lt;&gt;""),LEFT(A486,2)&amp;LEFT(B486,4)&amp;LEFT(C486,2)&amp;SUBSTITUTE(UPPER(D486),"Ú","U"),"")</f>
        <v/>
      </c>
      <c r="G486" s="7" t="str">
        <f>IFERROR(INDEX(Modelos!$B$2:$B$301,MATCH($B486,Modelos!$C$2:$C$301,0))&amp;"","")</f>
        <v/>
      </c>
      <c r="H486" s="7" t="str">
        <f>IFERROR(INDEX(Modelos!$D$2:$D$301,MATCH($B486,Modelos!$C$2:$C$301,0))&amp;"","")</f>
        <v/>
      </c>
      <c r="I486" s="7" t="str">
        <f>IFERROR(INDEX(Modelos!$E$2:$E$301,MATCH($B486,Modelos!$C$2:$C$301,0))&amp;"","")</f>
        <v/>
      </c>
      <c r="J486" s="7" t="str">
        <f>IFERROR(INDEX(Modelos!$F$2:$F$301,MATCH($B486,Modelos!$C$2:$C$301,0))&amp;"","")</f>
        <v/>
      </c>
      <c r="K486" s="7" t="str">
        <f>IFERROR(INDEX(Modelos!$G$2:$G$301,MATCH($B486,Modelos!$C$2:$C$301,0))&amp;"","")</f>
        <v/>
      </c>
      <c r="L486" s="7" t="str">
        <f>IFERROR(INDEX(Diccionarios!$G$2:$G$201,MATCH($C486,Diccionarios!$H$2:$H$201,0))&amp;"","")</f>
        <v/>
      </c>
      <c r="M486" s="7" t="str">
        <f>IF(D486="","",D486&amp;"")</f>
        <v/>
      </c>
      <c r="N486" s="8" t="str">
        <f>IF($B486="","",IFERROR(INDEX(Modelos!$H$2:$H$301,MATCH($B486,Modelos!$C$2:$C$301,0)),""))</f>
        <v/>
      </c>
      <c r="O486" s="8" t="str">
        <f>IF($B486="","",IFERROR(INDEX(Modelos!$I$2:$I$301,MATCH($B486,Modelos!$C$2:$C$301,0)),""))</f>
        <v/>
      </c>
      <c r="P486" s="8" t="str">
        <f>IF($B486="","",IFERROR(INDEX(Modelos!$J$2:$J$301,MATCH($B486,Modelos!$C$2:$C$301,0)),""))</f>
        <v/>
      </c>
      <c r="Q486" s="7" t="str">
        <f>IFERROR(INDEX(Diccionarios!$B$2:$B$201,MATCH($A486,Diccionarios!$D$2:$D$201,0))&amp;"","")</f>
        <v/>
      </c>
      <c r="R486" s="7" t="str">
        <f>IFERROR(INDEX(Diccionarios!$C$2:$C$201,MATCH($A486,Diccionarios!$D$2:$D$201,0))&amp;"","")</f>
        <v/>
      </c>
      <c r="S486" s="7" t="str">
        <f>IFERROR(INDEX(Modelos!$K$2:$K$301,MATCH($B486,Modelos!$C$2:$C$301,0))&amp;"","")</f>
        <v/>
      </c>
      <c r="T486" s="7" t="str">
        <f>IFERROR(INDEX(Modelos!$L$2:$L$301,MATCH($B486,Modelos!$C$2:$C$301,0))&amp;"","")</f>
        <v/>
      </c>
    </row>
    <row r="487" spans="1:20" x14ac:dyDescent="0.25">
      <c r="A487" s="5"/>
      <c r="B487" s="5"/>
      <c r="C487" s="5"/>
      <c r="D487" s="6"/>
      <c r="E487" s="5"/>
      <c r="F487" s="7" t="str">
        <f>IF(AND(A487&lt;&gt;"",B487&lt;&gt;"",C487&lt;&gt;"",D487&lt;&gt;""),LEFT(A487,2)&amp;LEFT(B487,4)&amp;LEFT(C487,2)&amp;SUBSTITUTE(UPPER(D487),"Ú","U"),"")</f>
        <v/>
      </c>
      <c r="G487" s="7" t="str">
        <f>IFERROR(INDEX(Modelos!$B$2:$B$301,MATCH($B487,Modelos!$C$2:$C$301,0))&amp;"","")</f>
        <v/>
      </c>
      <c r="H487" s="7" t="str">
        <f>IFERROR(INDEX(Modelos!$D$2:$D$301,MATCH($B487,Modelos!$C$2:$C$301,0))&amp;"","")</f>
        <v/>
      </c>
      <c r="I487" s="7" t="str">
        <f>IFERROR(INDEX(Modelos!$E$2:$E$301,MATCH($B487,Modelos!$C$2:$C$301,0))&amp;"","")</f>
        <v/>
      </c>
      <c r="J487" s="7" t="str">
        <f>IFERROR(INDEX(Modelos!$F$2:$F$301,MATCH($B487,Modelos!$C$2:$C$301,0))&amp;"","")</f>
        <v/>
      </c>
      <c r="K487" s="7" t="str">
        <f>IFERROR(INDEX(Modelos!$G$2:$G$301,MATCH($B487,Modelos!$C$2:$C$301,0))&amp;"","")</f>
        <v/>
      </c>
      <c r="L487" s="7" t="str">
        <f>IFERROR(INDEX(Diccionarios!$G$2:$G$201,MATCH($C487,Diccionarios!$H$2:$H$201,0))&amp;"","")</f>
        <v/>
      </c>
      <c r="M487" s="7" t="str">
        <f>IF(D487="","",D487&amp;"")</f>
        <v/>
      </c>
      <c r="N487" s="8" t="str">
        <f>IF($B487="","",IFERROR(INDEX(Modelos!$H$2:$H$301,MATCH($B487,Modelos!$C$2:$C$301,0)),""))</f>
        <v/>
      </c>
      <c r="O487" s="8" t="str">
        <f>IF($B487="","",IFERROR(INDEX(Modelos!$I$2:$I$301,MATCH($B487,Modelos!$C$2:$C$301,0)),""))</f>
        <v/>
      </c>
      <c r="P487" s="8" t="str">
        <f>IF($B487="","",IFERROR(INDEX(Modelos!$J$2:$J$301,MATCH($B487,Modelos!$C$2:$C$301,0)),""))</f>
        <v/>
      </c>
      <c r="Q487" s="7" t="str">
        <f>IFERROR(INDEX(Diccionarios!$B$2:$B$201,MATCH($A487,Diccionarios!$D$2:$D$201,0))&amp;"","")</f>
        <v/>
      </c>
      <c r="R487" s="7" t="str">
        <f>IFERROR(INDEX(Diccionarios!$C$2:$C$201,MATCH($A487,Diccionarios!$D$2:$D$201,0))&amp;"","")</f>
        <v/>
      </c>
      <c r="S487" s="7" t="str">
        <f>IFERROR(INDEX(Modelos!$K$2:$K$301,MATCH($B487,Modelos!$C$2:$C$301,0))&amp;"","")</f>
        <v/>
      </c>
      <c r="T487" s="7" t="str">
        <f>IFERROR(INDEX(Modelos!$L$2:$L$301,MATCH($B487,Modelos!$C$2:$C$301,0))&amp;"","")</f>
        <v/>
      </c>
    </row>
    <row r="488" spans="1:20" x14ac:dyDescent="0.25">
      <c r="A488" s="5"/>
      <c r="B488" s="5"/>
      <c r="C488" s="5"/>
      <c r="D488" s="6"/>
      <c r="E488" s="5"/>
      <c r="F488" s="7" t="str">
        <f>IF(AND(A488&lt;&gt;"",B488&lt;&gt;"",C488&lt;&gt;"",D488&lt;&gt;""),LEFT(A488,2)&amp;LEFT(B488,4)&amp;LEFT(C488,2)&amp;SUBSTITUTE(UPPER(D488),"Ú","U"),"")</f>
        <v/>
      </c>
      <c r="G488" s="7" t="str">
        <f>IFERROR(INDEX(Modelos!$B$2:$B$301,MATCH($B488,Modelos!$C$2:$C$301,0))&amp;"","")</f>
        <v/>
      </c>
      <c r="H488" s="7" t="str">
        <f>IFERROR(INDEX(Modelos!$D$2:$D$301,MATCH($B488,Modelos!$C$2:$C$301,0))&amp;"","")</f>
        <v/>
      </c>
      <c r="I488" s="7" t="str">
        <f>IFERROR(INDEX(Modelos!$E$2:$E$301,MATCH($B488,Modelos!$C$2:$C$301,0))&amp;"","")</f>
        <v/>
      </c>
      <c r="J488" s="7" t="str">
        <f>IFERROR(INDEX(Modelos!$F$2:$F$301,MATCH($B488,Modelos!$C$2:$C$301,0))&amp;"","")</f>
        <v/>
      </c>
      <c r="K488" s="7" t="str">
        <f>IFERROR(INDEX(Modelos!$G$2:$G$301,MATCH($B488,Modelos!$C$2:$C$301,0))&amp;"","")</f>
        <v/>
      </c>
      <c r="L488" s="7" t="str">
        <f>IFERROR(INDEX(Diccionarios!$G$2:$G$201,MATCH($C488,Diccionarios!$H$2:$H$201,0))&amp;"","")</f>
        <v/>
      </c>
      <c r="M488" s="7" t="str">
        <f>IF(D488="","",D488&amp;"")</f>
        <v/>
      </c>
      <c r="N488" s="8" t="str">
        <f>IF($B488="","",IFERROR(INDEX(Modelos!$H$2:$H$301,MATCH($B488,Modelos!$C$2:$C$301,0)),""))</f>
        <v/>
      </c>
      <c r="O488" s="8" t="str">
        <f>IF($B488="","",IFERROR(INDEX(Modelos!$I$2:$I$301,MATCH($B488,Modelos!$C$2:$C$301,0)),""))</f>
        <v/>
      </c>
      <c r="P488" s="8" t="str">
        <f>IF($B488="","",IFERROR(INDEX(Modelos!$J$2:$J$301,MATCH($B488,Modelos!$C$2:$C$301,0)),""))</f>
        <v/>
      </c>
      <c r="Q488" s="7" t="str">
        <f>IFERROR(INDEX(Diccionarios!$B$2:$B$201,MATCH($A488,Diccionarios!$D$2:$D$201,0))&amp;"","")</f>
        <v/>
      </c>
      <c r="R488" s="7" t="str">
        <f>IFERROR(INDEX(Diccionarios!$C$2:$C$201,MATCH($A488,Diccionarios!$D$2:$D$201,0))&amp;"","")</f>
        <v/>
      </c>
      <c r="S488" s="7" t="str">
        <f>IFERROR(INDEX(Modelos!$K$2:$K$301,MATCH($B488,Modelos!$C$2:$C$301,0))&amp;"","")</f>
        <v/>
      </c>
      <c r="T488" s="7" t="str">
        <f>IFERROR(INDEX(Modelos!$L$2:$L$301,MATCH($B488,Modelos!$C$2:$C$301,0))&amp;"","")</f>
        <v/>
      </c>
    </row>
    <row r="489" spans="1:20" x14ac:dyDescent="0.25">
      <c r="A489" s="5"/>
      <c r="B489" s="5"/>
      <c r="C489" s="5"/>
      <c r="D489" s="6"/>
      <c r="E489" s="5"/>
      <c r="F489" s="7" t="str">
        <f>IF(AND(A489&lt;&gt;"",B489&lt;&gt;"",C489&lt;&gt;"",D489&lt;&gt;""),LEFT(A489,2)&amp;LEFT(B489,4)&amp;LEFT(C489,2)&amp;SUBSTITUTE(UPPER(D489),"Ú","U"),"")</f>
        <v/>
      </c>
      <c r="G489" s="7" t="str">
        <f>IFERROR(INDEX(Modelos!$B$2:$B$301,MATCH($B489,Modelos!$C$2:$C$301,0))&amp;"","")</f>
        <v/>
      </c>
      <c r="H489" s="7" t="str">
        <f>IFERROR(INDEX(Modelos!$D$2:$D$301,MATCH($B489,Modelos!$C$2:$C$301,0))&amp;"","")</f>
        <v/>
      </c>
      <c r="I489" s="7" t="str">
        <f>IFERROR(INDEX(Modelos!$E$2:$E$301,MATCH($B489,Modelos!$C$2:$C$301,0))&amp;"","")</f>
        <v/>
      </c>
      <c r="J489" s="7" t="str">
        <f>IFERROR(INDEX(Modelos!$F$2:$F$301,MATCH($B489,Modelos!$C$2:$C$301,0))&amp;"","")</f>
        <v/>
      </c>
      <c r="K489" s="7" t="str">
        <f>IFERROR(INDEX(Modelos!$G$2:$G$301,MATCH($B489,Modelos!$C$2:$C$301,0))&amp;"","")</f>
        <v/>
      </c>
      <c r="L489" s="7" t="str">
        <f>IFERROR(INDEX(Diccionarios!$G$2:$G$201,MATCH($C489,Diccionarios!$H$2:$H$201,0))&amp;"","")</f>
        <v/>
      </c>
      <c r="M489" s="7" t="str">
        <f>IF(D489="","",D489&amp;"")</f>
        <v/>
      </c>
      <c r="N489" s="8" t="str">
        <f>IF($B489="","",IFERROR(INDEX(Modelos!$H$2:$H$301,MATCH($B489,Modelos!$C$2:$C$301,0)),""))</f>
        <v/>
      </c>
      <c r="O489" s="8" t="str">
        <f>IF($B489="","",IFERROR(INDEX(Modelos!$I$2:$I$301,MATCH($B489,Modelos!$C$2:$C$301,0)),""))</f>
        <v/>
      </c>
      <c r="P489" s="8" t="str">
        <f>IF($B489="","",IFERROR(INDEX(Modelos!$J$2:$J$301,MATCH($B489,Modelos!$C$2:$C$301,0)),""))</f>
        <v/>
      </c>
      <c r="Q489" s="7" t="str">
        <f>IFERROR(INDEX(Diccionarios!$B$2:$B$201,MATCH($A489,Diccionarios!$D$2:$D$201,0))&amp;"","")</f>
        <v/>
      </c>
      <c r="R489" s="7" t="str">
        <f>IFERROR(INDEX(Diccionarios!$C$2:$C$201,MATCH($A489,Diccionarios!$D$2:$D$201,0))&amp;"","")</f>
        <v/>
      </c>
      <c r="S489" s="7" t="str">
        <f>IFERROR(INDEX(Modelos!$K$2:$K$301,MATCH($B489,Modelos!$C$2:$C$301,0))&amp;"","")</f>
        <v/>
      </c>
      <c r="T489" s="7" t="str">
        <f>IFERROR(INDEX(Modelos!$L$2:$L$301,MATCH($B489,Modelos!$C$2:$C$301,0))&amp;"","")</f>
        <v/>
      </c>
    </row>
    <row r="490" spans="1:20" x14ac:dyDescent="0.25">
      <c r="A490" s="5"/>
      <c r="B490" s="5"/>
      <c r="C490" s="5"/>
      <c r="D490" s="6"/>
      <c r="E490" s="5"/>
      <c r="F490" s="7" t="str">
        <f>IF(AND(A490&lt;&gt;"",B490&lt;&gt;"",C490&lt;&gt;"",D490&lt;&gt;""),LEFT(A490,2)&amp;LEFT(B490,4)&amp;LEFT(C490,2)&amp;SUBSTITUTE(UPPER(D490),"Ú","U"),"")</f>
        <v/>
      </c>
      <c r="G490" s="7" t="str">
        <f>IFERROR(INDEX(Modelos!$B$2:$B$301,MATCH($B490,Modelos!$C$2:$C$301,0))&amp;"","")</f>
        <v/>
      </c>
      <c r="H490" s="7" t="str">
        <f>IFERROR(INDEX(Modelos!$D$2:$D$301,MATCH($B490,Modelos!$C$2:$C$301,0))&amp;"","")</f>
        <v/>
      </c>
      <c r="I490" s="7" t="str">
        <f>IFERROR(INDEX(Modelos!$E$2:$E$301,MATCH($B490,Modelos!$C$2:$C$301,0))&amp;"","")</f>
        <v/>
      </c>
      <c r="J490" s="7" t="str">
        <f>IFERROR(INDEX(Modelos!$F$2:$F$301,MATCH($B490,Modelos!$C$2:$C$301,0))&amp;"","")</f>
        <v/>
      </c>
      <c r="K490" s="7" t="str">
        <f>IFERROR(INDEX(Modelos!$G$2:$G$301,MATCH($B490,Modelos!$C$2:$C$301,0))&amp;"","")</f>
        <v/>
      </c>
      <c r="L490" s="7" t="str">
        <f>IFERROR(INDEX(Diccionarios!$G$2:$G$201,MATCH($C490,Diccionarios!$H$2:$H$201,0))&amp;"","")</f>
        <v/>
      </c>
      <c r="M490" s="7" t="str">
        <f>IF(D490="","",D490&amp;"")</f>
        <v/>
      </c>
      <c r="N490" s="8" t="str">
        <f>IF($B490="","",IFERROR(INDEX(Modelos!$H$2:$H$301,MATCH($B490,Modelos!$C$2:$C$301,0)),""))</f>
        <v/>
      </c>
      <c r="O490" s="8" t="str">
        <f>IF($B490="","",IFERROR(INDEX(Modelos!$I$2:$I$301,MATCH($B490,Modelos!$C$2:$C$301,0)),""))</f>
        <v/>
      </c>
      <c r="P490" s="8" t="str">
        <f>IF($B490="","",IFERROR(INDEX(Modelos!$J$2:$J$301,MATCH($B490,Modelos!$C$2:$C$301,0)),""))</f>
        <v/>
      </c>
      <c r="Q490" s="7" t="str">
        <f>IFERROR(INDEX(Diccionarios!$B$2:$B$201,MATCH($A490,Diccionarios!$D$2:$D$201,0))&amp;"","")</f>
        <v/>
      </c>
      <c r="R490" s="7" t="str">
        <f>IFERROR(INDEX(Diccionarios!$C$2:$C$201,MATCH($A490,Diccionarios!$D$2:$D$201,0))&amp;"","")</f>
        <v/>
      </c>
      <c r="S490" s="7" t="str">
        <f>IFERROR(INDEX(Modelos!$K$2:$K$301,MATCH($B490,Modelos!$C$2:$C$301,0))&amp;"","")</f>
        <v/>
      </c>
      <c r="T490" s="7" t="str">
        <f>IFERROR(INDEX(Modelos!$L$2:$L$301,MATCH($B490,Modelos!$C$2:$C$301,0))&amp;"","")</f>
        <v/>
      </c>
    </row>
    <row r="491" spans="1:20" x14ac:dyDescent="0.25">
      <c r="A491" s="5"/>
      <c r="B491" s="5"/>
      <c r="C491" s="5"/>
      <c r="D491" s="6"/>
      <c r="E491" s="5"/>
      <c r="F491" s="7" t="str">
        <f>IF(AND(A491&lt;&gt;"",B491&lt;&gt;"",C491&lt;&gt;"",D491&lt;&gt;""),LEFT(A491,2)&amp;LEFT(B491,4)&amp;LEFT(C491,2)&amp;SUBSTITUTE(UPPER(D491),"Ú","U"),"")</f>
        <v/>
      </c>
      <c r="G491" s="7" t="str">
        <f>IFERROR(INDEX(Modelos!$B$2:$B$301,MATCH($B491,Modelos!$C$2:$C$301,0))&amp;"","")</f>
        <v/>
      </c>
      <c r="H491" s="7" t="str">
        <f>IFERROR(INDEX(Modelos!$D$2:$D$301,MATCH($B491,Modelos!$C$2:$C$301,0))&amp;"","")</f>
        <v/>
      </c>
      <c r="I491" s="7" t="str">
        <f>IFERROR(INDEX(Modelos!$E$2:$E$301,MATCH($B491,Modelos!$C$2:$C$301,0))&amp;"","")</f>
        <v/>
      </c>
      <c r="J491" s="7" t="str">
        <f>IFERROR(INDEX(Modelos!$F$2:$F$301,MATCH($B491,Modelos!$C$2:$C$301,0))&amp;"","")</f>
        <v/>
      </c>
      <c r="K491" s="7" t="str">
        <f>IFERROR(INDEX(Modelos!$G$2:$G$301,MATCH($B491,Modelos!$C$2:$C$301,0))&amp;"","")</f>
        <v/>
      </c>
      <c r="L491" s="7" t="str">
        <f>IFERROR(INDEX(Diccionarios!$G$2:$G$201,MATCH($C491,Diccionarios!$H$2:$H$201,0))&amp;"","")</f>
        <v/>
      </c>
      <c r="M491" s="7" t="str">
        <f>IF(D491="","",D491&amp;"")</f>
        <v/>
      </c>
      <c r="N491" s="8" t="str">
        <f>IF($B491="","",IFERROR(INDEX(Modelos!$H$2:$H$301,MATCH($B491,Modelos!$C$2:$C$301,0)),""))</f>
        <v/>
      </c>
      <c r="O491" s="8" t="str">
        <f>IF($B491="","",IFERROR(INDEX(Modelos!$I$2:$I$301,MATCH($B491,Modelos!$C$2:$C$301,0)),""))</f>
        <v/>
      </c>
      <c r="P491" s="8" t="str">
        <f>IF($B491="","",IFERROR(INDEX(Modelos!$J$2:$J$301,MATCH($B491,Modelos!$C$2:$C$301,0)),""))</f>
        <v/>
      </c>
      <c r="Q491" s="7" t="str">
        <f>IFERROR(INDEX(Diccionarios!$B$2:$B$201,MATCH($A491,Diccionarios!$D$2:$D$201,0))&amp;"","")</f>
        <v/>
      </c>
      <c r="R491" s="7" t="str">
        <f>IFERROR(INDEX(Diccionarios!$C$2:$C$201,MATCH($A491,Diccionarios!$D$2:$D$201,0))&amp;"","")</f>
        <v/>
      </c>
      <c r="S491" s="7" t="str">
        <f>IFERROR(INDEX(Modelos!$K$2:$K$301,MATCH($B491,Modelos!$C$2:$C$301,0))&amp;"","")</f>
        <v/>
      </c>
      <c r="T491" s="7" t="str">
        <f>IFERROR(INDEX(Modelos!$L$2:$L$301,MATCH($B491,Modelos!$C$2:$C$301,0))&amp;"","")</f>
        <v/>
      </c>
    </row>
    <row r="492" spans="1:20" x14ac:dyDescent="0.25">
      <c r="A492" s="5"/>
      <c r="B492" s="5"/>
      <c r="C492" s="5"/>
      <c r="D492" s="6"/>
      <c r="E492" s="5"/>
      <c r="F492" s="7" t="str">
        <f>IF(AND(A492&lt;&gt;"",B492&lt;&gt;"",C492&lt;&gt;"",D492&lt;&gt;""),LEFT(A492,2)&amp;LEFT(B492,4)&amp;LEFT(C492,2)&amp;SUBSTITUTE(UPPER(D492),"Ú","U"),"")</f>
        <v/>
      </c>
      <c r="G492" s="7" t="str">
        <f>IFERROR(INDEX(Modelos!$B$2:$B$301,MATCH($B492,Modelos!$C$2:$C$301,0))&amp;"","")</f>
        <v/>
      </c>
      <c r="H492" s="7" t="str">
        <f>IFERROR(INDEX(Modelos!$D$2:$D$301,MATCH($B492,Modelos!$C$2:$C$301,0))&amp;"","")</f>
        <v/>
      </c>
      <c r="I492" s="7" t="str">
        <f>IFERROR(INDEX(Modelos!$E$2:$E$301,MATCH($B492,Modelos!$C$2:$C$301,0))&amp;"","")</f>
        <v/>
      </c>
      <c r="J492" s="7" t="str">
        <f>IFERROR(INDEX(Modelos!$F$2:$F$301,MATCH($B492,Modelos!$C$2:$C$301,0))&amp;"","")</f>
        <v/>
      </c>
      <c r="K492" s="7" t="str">
        <f>IFERROR(INDEX(Modelos!$G$2:$G$301,MATCH($B492,Modelos!$C$2:$C$301,0))&amp;"","")</f>
        <v/>
      </c>
      <c r="L492" s="7" t="str">
        <f>IFERROR(INDEX(Diccionarios!$G$2:$G$201,MATCH($C492,Diccionarios!$H$2:$H$201,0))&amp;"","")</f>
        <v/>
      </c>
      <c r="M492" s="7" t="str">
        <f>IF(D492="","",D492&amp;"")</f>
        <v/>
      </c>
      <c r="N492" s="8" t="str">
        <f>IF($B492="","",IFERROR(INDEX(Modelos!$H$2:$H$301,MATCH($B492,Modelos!$C$2:$C$301,0)),""))</f>
        <v/>
      </c>
      <c r="O492" s="8" t="str">
        <f>IF($B492="","",IFERROR(INDEX(Modelos!$I$2:$I$301,MATCH($B492,Modelos!$C$2:$C$301,0)),""))</f>
        <v/>
      </c>
      <c r="P492" s="8" t="str">
        <f>IF($B492="","",IFERROR(INDEX(Modelos!$J$2:$J$301,MATCH($B492,Modelos!$C$2:$C$301,0)),""))</f>
        <v/>
      </c>
      <c r="Q492" s="7" t="str">
        <f>IFERROR(INDEX(Diccionarios!$B$2:$B$201,MATCH($A492,Diccionarios!$D$2:$D$201,0))&amp;"","")</f>
        <v/>
      </c>
      <c r="R492" s="7" t="str">
        <f>IFERROR(INDEX(Diccionarios!$C$2:$C$201,MATCH($A492,Diccionarios!$D$2:$D$201,0))&amp;"","")</f>
        <v/>
      </c>
      <c r="S492" s="7" t="str">
        <f>IFERROR(INDEX(Modelos!$K$2:$K$301,MATCH($B492,Modelos!$C$2:$C$301,0))&amp;"","")</f>
        <v/>
      </c>
      <c r="T492" s="7" t="str">
        <f>IFERROR(INDEX(Modelos!$L$2:$L$301,MATCH($B492,Modelos!$C$2:$C$301,0))&amp;"","")</f>
        <v/>
      </c>
    </row>
    <row r="493" spans="1:20" x14ac:dyDescent="0.25">
      <c r="A493" s="5"/>
      <c r="B493" s="5"/>
      <c r="C493" s="5"/>
      <c r="D493" s="6"/>
      <c r="E493" s="5"/>
      <c r="F493" s="7" t="str">
        <f>IF(AND(A493&lt;&gt;"",B493&lt;&gt;"",C493&lt;&gt;"",D493&lt;&gt;""),LEFT(A493,2)&amp;LEFT(B493,4)&amp;LEFT(C493,2)&amp;SUBSTITUTE(UPPER(D493),"Ú","U"),"")</f>
        <v/>
      </c>
      <c r="G493" s="7" t="str">
        <f>IFERROR(INDEX(Modelos!$B$2:$B$301,MATCH($B493,Modelos!$C$2:$C$301,0))&amp;"","")</f>
        <v/>
      </c>
      <c r="H493" s="7" t="str">
        <f>IFERROR(INDEX(Modelos!$D$2:$D$301,MATCH($B493,Modelos!$C$2:$C$301,0))&amp;"","")</f>
        <v/>
      </c>
      <c r="I493" s="7" t="str">
        <f>IFERROR(INDEX(Modelos!$E$2:$E$301,MATCH($B493,Modelos!$C$2:$C$301,0))&amp;"","")</f>
        <v/>
      </c>
      <c r="J493" s="7" t="str">
        <f>IFERROR(INDEX(Modelos!$F$2:$F$301,MATCH($B493,Modelos!$C$2:$C$301,0))&amp;"","")</f>
        <v/>
      </c>
      <c r="K493" s="7" t="str">
        <f>IFERROR(INDEX(Modelos!$G$2:$G$301,MATCH($B493,Modelos!$C$2:$C$301,0))&amp;"","")</f>
        <v/>
      </c>
      <c r="L493" s="7" t="str">
        <f>IFERROR(INDEX(Diccionarios!$G$2:$G$201,MATCH($C493,Diccionarios!$H$2:$H$201,0))&amp;"","")</f>
        <v/>
      </c>
      <c r="M493" s="7" t="str">
        <f>IF(D493="","",D493&amp;"")</f>
        <v/>
      </c>
      <c r="N493" s="8" t="str">
        <f>IF($B493="","",IFERROR(INDEX(Modelos!$H$2:$H$301,MATCH($B493,Modelos!$C$2:$C$301,0)),""))</f>
        <v/>
      </c>
      <c r="O493" s="8" t="str">
        <f>IF($B493="","",IFERROR(INDEX(Modelos!$I$2:$I$301,MATCH($B493,Modelos!$C$2:$C$301,0)),""))</f>
        <v/>
      </c>
      <c r="P493" s="8" t="str">
        <f>IF($B493="","",IFERROR(INDEX(Modelos!$J$2:$J$301,MATCH($B493,Modelos!$C$2:$C$301,0)),""))</f>
        <v/>
      </c>
      <c r="Q493" s="7" t="str">
        <f>IFERROR(INDEX(Diccionarios!$B$2:$B$201,MATCH($A493,Diccionarios!$D$2:$D$201,0))&amp;"","")</f>
        <v/>
      </c>
      <c r="R493" s="7" t="str">
        <f>IFERROR(INDEX(Diccionarios!$C$2:$C$201,MATCH($A493,Diccionarios!$D$2:$D$201,0))&amp;"","")</f>
        <v/>
      </c>
      <c r="S493" s="7" t="str">
        <f>IFERROR(INDEX(Modelos!$K$2:$K$301,MATCH($B493,Modelos!$C$2:$C$301,0))&amp;"","")</f>
        <v/>
      </c>
      <c r="T493" s="7" t="str">
        <f>IFERROR(INDEX(Modelos!$L$2:$L$301,MATCH($B493,Modelos!$C$2:$C$301,0))&amp;"","")</f>
        <v/>
      </c>
    </row>
    <row r="494" spans="1:20" x14ac:dyDescent="0.25">
      <c r="A494" s="5"/>
      <c r="B494" s="5"/>
      <c r="C494" s="5"/>
      <c r="D494" s="6"/>
      <c r="E494" s="5"/>
      <c r="F494" s="7" t="str">
        <f>IF(AND(A494&lt;&gt;"",B494&lt;&gt;"",C494&lt;&gt;"",D494&lt;&gt;""),LEFT(A494,2)&amp;LEFT(B494,4)&amp;LEFT(C494,2)&amp;SUBSTITUTE(UPPER(D494),"Ú","U"),"")</f>
        <v/>
      </c>
      <c r="G494" s="7" t="str">
        <f>IFERROR(INDEX(Modelos!$B$2:$B$301,MATCH($B494,Modelos!$C$2:$C$301,0))&amp;"","")</f>
        <v/>
      </c>
      <c r="H494" s="7" t="str">
        <f>IFERROR(INDEX(Modelos!$D$2:$D$301,MATCH($B494,Modelos!$C$2:$C$301,0))&amp;"","")</f>
        <v/>
      </c>
      <c r="I494" s="7" t="str">
        <f>IFERROR(INDEX(Modelos!$E$2:$E$301,MATCH($B494,Modelos!$C$2:$C$301,0))&amp;"","")</f>
        <v/>
      </c>
      <c r="J494" s="7" t="str">
        <f>IFERROR(INDEX(Modelos!$F$2:$F$301,MATCH($B494,Modelos!$C$2:$C$301,0))&amp;"","")</f>
        <v/>
      </c>
      <c r="K494" s="7" t="str">
        <f>IFERROR(INDEX(Modelos!$G$2:$G$301,MATCH($B494,Modelos!$C$2:$C$301,0))&amp;"","")</f>
        <v/>
      </c>
      <c r="L494" s="7" t="str">
        <f>IFERROR(INDEX(Diccionarios!$G$2:$G$201,MATCH($C494,Diccionarios!$H$2:$H$201,0))&amp;"","")</f>
        <v/>
      </c>
      <c r="M494" s="7" t="str">
        <f>IF(D494="","",D494&amp;"")</f>
        <v/>
      </c>
      <c r="N494" s="8" t="str">
        <f>IF($B494="","",IFERROR(INDEX(Modelos!$H$2:$H$301,MATCH($B494,Modelos!$C$2:$C$301,0)),""))</f>
        <v/>
      </c>
      <c r="O494" s="8" t="str">
        <f>IF($B494="","",IFERROR(INDEX(Modelos!$I$2:$I$301,MATCH($B494,Modelos!$C$2:$C$301,0)),""))</f>
        <v/>
      </c>
      <c r="P494" s="8" t="str">
        <f>IF($B494="","",IFERROR(INDEX(Modelos!$J$2:$J$301,MATCH($B494,Modelos!$C$2:$C$301,0)),""))</f>
        <v/>
      </c>
      <c r="Q494" s="7" t="str">
        <f>IFERROR(INDEX(Diccionarios!$B$2:$B$201,MATCH($A494,Diccionarios!$D$2:$D$201,0))&amp;"","")</f>
        <v/>
      </c>
      <c r="R494" s="7" t="str">
        <f>IFERROR(INDEX(Diccionarios!$C$2:$C$201,MATCH($A494,Diccionarios!$D$2:$D$201,0))&amp;"","")</f>
        <v/>
      </c>
      <c r="S494" s="7" t="str">
        <f>IFERROR(INDEX(Modelos!$K$2:$K$301,MATCH($B494,Modelos!$C$2:$C$301,0))&amp;"","")</f>
        <v/>
      </c>
      <c r="T494" s="7" t="str">
        <f>IFERROR(INDEX(Modelos!$L$2:$L$301,MATCH($B494,Modelos!$C$2:$C$301,0))&amp;"","")</f>
        <v/>
      </c>
    </row>
    <row r="495" spans="1:20" x14ac:dyDescent="0.25">
      <c r="A495" s="5"/>
      <c r="B495" s="5"/>
      <c r="C495" s="5"/>
      <c r="D495" s="6"/>
      <c r="E495" s="5"/>
      <c r="F495" s="7" t="str">
        <f>IF(AND(A495&lt;&gt;"",B495&lt;&gt;"",C495&lt;&gt;"",D495&lt;&gt;""),LEFT(A495,2)&amp;LEFT(B495,4)&amp;LEFT(C495,2)&amp;SUBSTITUTE(UPPER(D495),"Ú","U"),"")</f>
        <v/>
      </c>
      <c r="G495" s="7" t="str">
        <f>IFERROR(INDEX(Modelos!$B$2:$B$301,MATCH($B495,Modelos!$C$2:$C$301,0))&amp;"","")</f>
        <v/>
      </c>
      <c r="H495" s="7" t="str">
        <f>IFERROR(INDEX(Modelos!$D$2:$D$301,MATCH($B495,Modelos!$C$2:$C$301,0))&amp;"","")</f>
        <v/>
      </c>
      <c r="I495" s="7" t="str">
        <f>IFERROR(INDEX(Modelos!$E$2:$E$301,MATCH($B495,Modelos!$C$2:$C$301,0))&amp;"","")</f>
        <v/>
      </c>
      <c r="J495" s="7" t="str">
        <f>IFERROR(INDEX(Modelos!$F$2:$F$301,MATCH($B495,Modelos!$C$2:$C$301,0))&amp;"","")</f>
        <v/>
      </c>
      <c r="K495" s="7" t="str">
        <f>IFERROR(INDEX(Modelos!$G$2:$G$301,MATCH($B495,Modelos!$C$2:$C$301,0))&amp;"","")</f>
        <v/>
      </c>
      <c r="L495" s="7" t="str">
        <f>IFERROR(INDEX(Diccionarios!$G$2:$G$201,MATCH($C495,Diccionarios!$H$2:$H$201,0))&amp;"","")</f>
        <v/>
      </c>
      <c r="M495" s="7" t="str">
        <f>IF(D495="","",D495&amp;"")</f>
        <v/>
      </c>
      <c r="N495" s="8" t="str">
        <f>IF($B495="","",IFERROR(INDEX(Modelos!$H$2:$H$301,MATCH($B495,Modelos!$C$2:$C$301,0)),""))</f>
        <v/>
      </c>
      <c r="O495" s="8" t="str">
        <f>IF($B495="","",IFERROR(INDEX(Modelos!$I$2:$I$301,MATCH($B495,Modelos!$C$2:$C$301,0)),""))</f>
        <v/>
      </c>
      <c r="P495" s="8" t="str">
        <f>IF($B495="","",IFERROR(INDEX(Modelos!$J$2:$J$301,MATCH($B495,Modelos!$C$2:$C$301,0)),""))</f>
        <v/>
      </c>
      <c r="Q495" s="7" t="str">
        <f>IFERROR(INDEX(Diccionarios!$B$2:$B$201,MATCH($A495,Diccionarios!$D$2:$D$201,0))&amp;"","")</f>
        <v/>
      </c>
      <c r="R495" s="7" t="str">
        <f>IFERROR(INDEX(Diccionarios!$C$2:$C$201,MATCH($A495,Diccionarios!$D$2:$D$201,0))&amp;"","")</f>
        <v/>
      </c>
      <c r="S495" s="7" t="str">
        <f>IFERROR(INDEX(Modelos!$K$2:$K$301,MATCH($B495,Modelos!$C$2:$C$301,0))&amp;"","")</f>
        <v/>
      </c>
      <c r="T495" s="7" t="str">
        <f>IFERROR(INDEX(Modelos!$L$2:$L$301,MATCH($B495,Modelos!$C$2:$C$301,0))&amp;"","")</f>
        <v/>
      </c>
    </row>
    <row r="496" spans="1:20" x14ac:dyDescent="0.25">
      <c r="A496" s="5"/>
      <c r="B496" s="5"/>
      <c r="C496" s="5"/>
      <c r="D496" s="6"/>
      <c r="E496" s="5"/>
      <c r="F496" s="7" t="str">
        <f>IF(AND(A496&lt;&gt;"",B496&lt;&gt;"",C496&lt;&gt;"",D496&lt;&gt;""),LEFT(A496,2)&amp;LEFT(B496,4)&amp;LEFT(C496,2)&amp;SUBSTITUTE(UPPER(D496),"Ú","U"),"")</f>
        <v/>
      </c>
      <c r="G496" s="7" t="str">
        <f>IFERROR(INDEX(Modelos!$B$2:$B$301,MATCH($B496,Modelos!$C$2:$C$301,0))&amp;"","")</f>
        <v/>
      </c>
      <c r="H496" s="7" t="str">
        <f>IFERROR(INDEX(Modelos!$D$2:$D$301,MATCH($B496,Modelos!$C$2:$C$301,0))&amp;"","")</f>
        <v/>
      </c>
      <c r="I496" s="7" t="str">
        <f>IFERROR(INDEX(Modelos!$E$2:$E$301,MATCH($B496,Modelos!$C$2:$C$301,0))&amp;"","")</f>
        <v/>
      </c>
      <c r="J496" s="7" t="str">
        <f>IFERROR(INDEX(Modelos!$F$2:$F$301,MATCH($B496,Modelos!$C$2:$C$301,0))&amp;"","")</f>
        <v/>
      </c>
      <c r="K496" s="7" t="str">
        <f>IFERROR(INDEX(Modelos!$G$2:$G$301,MATCH($B496,Modelos!$C$2:$C$301,0))&amp;"","")</f>
        <v/>
      </c>
      <c r="L496" s="7" t="str">
        <f>IFERROR(INDEX(Diccionarios!$G$2:$G$201,MATCH($C496,Diccionarios!$H$2:$H$201,0))&amp;"","")</f>
        <v/>
      </c>
      <c r="M496" s="7" t="str">
        <f>IF(D496="","",D496&amp;"")</f>
        <v/>
      </c>
      <c r="N496" s="8" t="str">
        <f>IF($B496="","",IFERROR(INDEX(Modelos!$H$2:$H$301,MATCH($B496,Modelos!$C$2:$C$301,0)),""))</f>
        <v/>
      </c>
      <c r="O496" s="8" t="str">
        <f>IF($B496="","",IFERROR(INDEX(Modelos!$I$2:$I$301,MATCH($B496,Modelos!$C$2:$C$301,0)),""))</f>
        <v/>
      </c>
      <c r="P496" s="8" t="str">
        <f>IF($B496="","",IFERROR(INDEX(Modelos!$J$2:$J$301,MATCH($B496,Modelos!$C$2:$C$301,0)),""))</f>
        <v/>
      </c>
      <c r="Q496" s="7" t="str">
        <f>IFERROR(INDEX(Diccionarios!$B$2:$B$201,MATCH($A496,Diccionarios!$D$2:$D$201,0))&amp;"","")</f>
        <v/>
      </c>
      <c r="R496" s="7" t="str">
        <f>IFERROR(INDEX(Diccionarios!$C$2:$C$201,MATCH($A496,Diccionarios!$D$2:$D$201,0))&amp;"","")</f>
        <v/>
      </c>
      <c r="S496" s="7" t="str">
        <f>IFERROR(INDEX(Modelos!$K$2:$K$301,MATCH($B496,Modelos!$C$2:$C$301,0))&amp;"","")</f>
        <v/>
      </c>
      <c r="T496" s="7" t="str">
        <f>IFERROR(INDEX(Modelos!$L$2:$L$301,MATCH($B496,Modelos!$C$2:$C$301,0))&amp;"","")</f>
        <v/>
      </c>
    </row>
    <row r="497" spans="1:20" x14ac:dyDescent="0.25">
      <c r="A497" s="5"/>
      <c r="B497" s="5"/>
      <c r="C497" s="5"/>
      <c r="D497" s="6"/>
      <c r="E497" s="5"/>
      <c r="F497" s="7" t="str">
        <f>IF(AND(A497&lt;&gt;"",B497&lt;&gt;"",C497&lt;&gt;"",D497&lt;&gt;""),LEFT(A497,2)&amp;LEFT(B497,4)&amp;LEFT(C497,2)&amp;SUBSTITUTE(UPPER(D497),"Ú","U"),"")</f>
        <v/>
      </c>
      <c r="G497" s="7" t="str">
        <f>IFERROR(INDEX(Modelos!$B$2:$B$301,MATCH($B497,Modelos!$C$2:$C$301,0))&amp;"","")</f>
        <v/>
      </c>
      <c r="H497" s="7" t="str">
        <f>IFERROR(INDEX(Modelos!$D$2:$D$301,MATCH($B497,Modelos!$C$2:$C$301,0))&amp;"","")</f>
        <v/>
      </c>
      <c r="I497" s="7" t="str">
        <f>IFERROR(INDEX(Modelos!$E$2:$E$301,MATCH($B497,Modelos!$C$2:$C$301,0))&amp;"","")</f>
        <v/>
      </c>
      <c r="J497" s="7" t="str">
        <f>IFERROR(INDEX(Modelos!$F$2:$F$301,MATCH($B497,Modelos!$C$2:$C$301,0))&amp;"","")</f>
        <v/>
      </c>
      <c r="K497" s="7" t="str">
        <f>IFERROR(INDEX(Modelos!$G$2:$G$301,MATCH($B497,Modelos!$C$2:$C$301,0))&amp;"","")</f>
        <v/>
      </c>
      <c r="L497" s="7" t="str">
        <f>IFERROR(INDEX(Diccionarios!$G$2:$G$201,MATCH($C497,Diccionarios!$H$2:$H$201,0))&amp;"","")</f>
        <v/>
      </c>
      <c r="M497" s="7" t="str">
        <f>IF(D497="","",D497&amp;"")</f>
        <v/>
      </c>
      <c r="N497" s="8" t="str">
        <f>IF($B497="","",IFERROR(INDEX(Modelos!$H$2:$H$301,MATCH($B497,Modelos!$C$2:$C$301,0)),""))</f>
        <v/>
      </c>
      <c r="O497" s="8" t="str">
        <f>IF($B497="","",IFERROR(INDEX(Modelos!$I$2:$I$301,MATCH($B497,Modelos!$C$2:$C$301,0)),""))</f>
        <v/>
      </c>
      <c r="P497" s="8" t="str">
        <f>IF($B497="","",IFERROR(INDEX(Modelos!$J$2:$J$301,MATCH($B497,Modelos!$C$2:$C$301,0)),""))</f>
        <v/>
      </c>
      <c r="Q497" s="7" t="str">
        <f>IFERROR(INDEX(Diccionarios!$B$2:$B$201,MATCH($A497,Diccionarios!$D$2:$D$201,0))&amp;"","")</f>
        <v/>
      </c>
      <c r="R497" s="7" t="str">
        <f>IFERROR(INDEX(Diccionarios!$C$2:$C$201,MATCH($A497,Diccionarios!$D$2:$D$201,0))&amp;"","")</f>
        <v/>
      </c>
      <c r="S497" s="7" t="str">
        <f>IFERROR(INDEX(Modelos!$K$2:$K$301,MATCH($B497,Modelos!$C$2:$C$301,0))&amp;"","")</f>
        <v/>
      </c>
      <c r="T497" s="7" t="str">
        <f>IFERROR(INDEX(Modelos!$L$2:$L$301,MATCH($B497,Modelos!$C$2:$C$301,0))&amp;"","")</f>
        <v/>
      </c>
    </row>
    <row r="498" spans="1:20" x14ac:dyDescent="0.25">
      <c r="A498" s="5"/>
      <c r="B498" s="5"/>
      <c r="C498" s="5"/>
      <c r="D498" s="6"/>
      <c r="E498" s="5"/>
      <c r="F498" s="7" t="str">
        <f>IF(AND(A498&lt;&gt;"",B498&lt;&gt;"",C498&lt;&gt;"",D498&lt;&gt;""),LEFT(A498,2)&amp;LEFT(B498,4)&amp;LEFT(C498,2)&amp;SUBSTITUTE(UPPER(D498),"Ú","U"),"")</f>
        <v/>
      </c>
      <c r="G498" s="7" t="str">
        <f>IFERROR(INDEX(Modelos!$B$2:$B$301,MATCH($B498,Modelos!$C$2:$C$301,0))&amp;"","")</f>
        <v/>
      </c>
      <c r="H498" s="7" t="str">
        <f>IFERROR(INDEX(Modelos!$D$2:$D$301,MATCH($B498,Modelos!$C$2:$C$301,0))&amp;"","")</f>
        <v/>
      </c>
      <c r="I498" s="7" t="str">
        <f>IFERROR(INDEX(Modelos!$E$2:$E$301,MATCH($B498,Modelos!$C$2:$C$301,0))&amp;"","")</f>
        <v/>
      </c>
      <c r="J498" s="7" t="str">
        <f>IFERROR(INDEX(Modelos!$F$2:$F$301,MATCH($B498,Modelos!$C$2:$C$301,0))&amp;"","")</f>
        <v/>
      </c>
      <c r="K498" s="7" t="str">
        <f>IFERROR(INDEX(Modelos!$G$2:$G$301,MATCH($B498,Modelos!$C$2:$C$301,0))&amp;"","")</f>
        <v/>
      </c>
      <c r="L498" s="7" t="str">
        <f>IFERROR(INDEX(Diccionarios!$G$2:$G$201,MATCH($C498,Diccionarios!$H$2:$H$201,0))&amp;"","")</f>
        <v/>
      </c>
      <c r="M498" s="7" t="str">
        <f>IF(D498="","",D498&amp;"")</f>
        <v/>
      </c>
      <c r="N498" s="8" t="str">
        <f>IF($B498="","",IFERROR(INDEX(Modelos!$H$2:$H$301,MATCH($B498,Modelos!$C$2:$C$301,0)),""))</f>
        <v/>
      </c>
      <c r="O498" s="8" t="str">
        <f>IF($B498="","",IFERROR(INDEX(Modelos!$I$2:$I$301,MATCH($B498,Modelos!$C$2:$C$301,0)),""))</f>
        <v/>
      </c>
      <c r="P498" s="8" t="str">
        <f>IF($B498="","",IFERROR(INDEX(Modelos!$J$2:$J$301,MATCH($B498,Modelos!$C$2:$C$301,0)),""))</f>
        <v/>
      </c>
      <c r="Q498" s="7" t="str">
        <f>IFERROR(INDEX(Diccionarios!$B$2:$B$201,MATCH($A498,Diccionarios!$D$2:$D$201,0))&amp;"","")</f>
        <v/>
      </c>
      <c r="R498" s="7" t="str">
        <f>IFERROR(INDEX(Diccionarios!$C$2:$C$201,MATCH($A498,Diccionarios!$D$2:$D$201,0))&amp;"","")</f>
        <v/>
      </c>
      <c r="S498" s="7" t="str">
        <f>IFERROR(INDEX(Modelos!$K$2:$K$301,MATCH($B498,Modelos!$C$2:$C$301,0))&amp;"","")</f>
        <v/>
      </c>
      <c r="T498" s="7" t="str">
        <f>IFERROR(INDEX(Modelos!$L$2:$L$301,MATCH($B498,Modelos!$C$2:$C$301,0))&amp;"","")</f>
        <v/>
      </c>
    </row>
    <row r="499" spans="1:20" x14ac:dyDescent="0.25">
      <c r="A499" s="5"/>
      <c r="B499" s="5"/>
      <c r="C499" s="5"/>
      <c r="D499" s="6"/>
      <c r="E499" s="5"/>
      <c r="F499" s="7" t="str">
        <f>IF(AND(A499&lt;&gt;"",B499&lt;&gt;"",C499&lt;&gt;"",D499&lt;&gt;""),LEFT(A499,2)&amp;LEFT(B499,4)&amp;LEFT(C499,2)&amp;SUBSTITUTE(UPPER(D499),"Ú","U"),"")</f>
        <v/>
      </c>
      <c r="G499" s="7" t="str">
        <f>IFERROR(INDEX(Modelos!$B$2:$B$301,MATCH($B499,Modelos!$C$2:$C$301,0))&amp;"","")</f>
        <v/>
      </c>
      <c r="H499" s="7" t="str">
        <f>IFERROR(INDEX(Modelos!$D$2:$D$301,MATCH($B499,Modelos!$C$2:$C$301,0))&amp;"","")</f>
        <v/>
      </c>
      <c r="I499" s="7" t="str">
        <f>IFERROR(INDEX(Modelos!$E$2:$E$301,MATCH($B499,Modelos!$C$2:$C$301,0))&amp;"","")</f>
        <v/>
      </c>
      <c r="J499" s="7" t="str">
        <f>IFERROR(INDEX(Modelos!$F$2:$F$301,MATCH($B499,Modelos!$C$2:$C$301,0))&amp;"","")</f>
        <v/>
      </c>
      <c r="K499" s="7" t="str">
        <f>IFERROR(INDEX(Modelos!$G$2:$G$301,MATCH($B499,Modelos!$C$2:$C$301,0))&amp;"","")</f>
        <v/>
      </c>
      <c r="L499" s="7" t="str">
        <f>IFERROR(INDEX(Diccionarios!$G$2:$G$201,MATCH($C499,Diccionarios!$H$2:$H$201,0))&amp;"","")</f>
        <v/>
      </c>
      <c r="M499" s="7" t="str">
        <f>IF(D499="","",D499&amp;"")</f>
        <v/>
      </c>
      <c r="N499" s="8" t="str">
        <f>IF($B499="","",IFERROR(INDEX(Modelos!$H$2:$H$301,MATCH($B499,Modelos!$C$2:$C$301,0)),""))</f>
        <v/>
      </c>
      <c r="O499" s="8" t="str">
        <f>IF($B499="","",IFERROR(INDEX(Modelos!$I$2:$I$301,MATCH($B499,Modelos!$C$2:$C$301,0)),""))</f>
        <v/>
      </c>
      <c r="P499" s="8" t="str">
        <f>IF($B499="","",IFERROR(INDEX(Modelos!$J$2:$J$301,MATCH($B499,Modelos!$C$2:$C$301,0)),""))</f>
        <v/>
      </c>
      <c r="Q499" s="7" t="str">
        <f>IFERROR(INDEX(Diccionarios!$B$2:$B$201,MATCH($A499,Diccionarios!$D$2:$D$201,0))&amp;"","")</f>
        <v/>
      </c>
      <c r="R499" s="7" t="str">
        <f>IFERROR(INDEX(Diccionarios!$C$2:$C$201,MATCH($A499,Diccionarios!$D$2:$D$201,0))&amp;"","")</f>
        <v/>
      </c>
      <c r="S499" s="7" t="str">
        <f>IFERROR(INDEX(Modelos!$K$2:$K$301,MATCH($B499,Modelos!$C$2:$C$301,0))&amp;"","")</f>
        <v/>
      </c>
      <c r="T499" s="7" t="str">
        <f>IFERROR(INDEX(Modelos!$L$2:$L$301,MATCH($B499,Modelos!$C$2:$C$301,0))&amp;"","")</f>
        <v/>
      </c>
    </row>
    <row r="500" spans="1:20" x14ac:dyDescent="0.25">
      <c r="A500" s="5"/>
      <c r="B500" s="5"/>
      <c r="C500" s="5"/>
      <c r="D500" s="6"/>
      <c r="E500" s="5"/>
      <c r="F500" s="7" t="str">
        <f>IF(AND(A500&lt;&gt;"",B500&lt;&gt;"",C500&lt;&gt;"",D500&lt;&gt;""),LEFT(A500,2)&amp;LEFT(B500,4)&amp;LEFT(C500,2)&amp;SUBSTITUTE(UPPER(D500),"Ú","U"),"")</f>
        <v/>
      </c>
      <c r="G500" s="7" t="str">
        <f>IFERROR(INDEX(Modelos!$B$2:$B$301,MATCH($B500,Modelos!$C$2:$C$301,0))&amp;"","")</f>
        <v/>
      </c>
      <c r="H500" s="7" t="str">
        <f>IFERROR(INDEX(Modelos!$D$2:$D$301,MATCH($B500,Modelos!$C$2:$C$301,0))&amp;"","")</f>
        <v/>
      </c>
      <c r="I500" s="7" t="str">
        <f>IFERROR(INDEX(Modelos!$E$2:$E$301,MATCH($B500,Modelos!$C$2:$C$301,0))&amp;"","")</f>
        <v/>
      </c>
      <c r="J500" s="7" t="str">
        <f>IFERROR(INDEX(Modelos!$F$2:$F$301,MATCH($B500,Modelos!$C$2:$C$301,0))&amp;"","")</f>
        <v/>
      </c>
      <c r="K500" s="7" t="str">
        <f>IFERROR(INDEX(Modelos!$G$2:$G$301,MATCH($B500,Modelos!$C$2:$C$301,0))&amp;"","")</f>
        <v/>
      </c>
      <c r="L500" s="7" t="str">
        <f>IFERROR(INDEX(Diccionarios!$G$2:$G$201,MATCH($C500,Diccionarios!$H$2:$H$201,0))&amp;"","")</f>
        <v/>
      </c>
      <c r="M500" s="7" t="str">
        <f>IF(D500="","",D500&amp;"")</f>
        <v/>
      </c>
      <c r="N500" s="8" t="str">
        <f>IF($B500="","",IFERROR(INDEX(Modelos!$H$2:$H$301,MATCH($B500,Modelos!$C$2:$C$301,0)),""))</f>
        <v/>
      </c>
      <c r="O500" s="8" t="str">
        <f>IF($B500="","",IFERROR(INDEX(Modelos!$I$2:$I$301,MATCH($B500,Modelos!$C$2:$C$301,0)),""))</f>
        <v/>
      </c>
      <c r="P500" s="8" t="str">
        <f>IF($B500="","",IFERROR(INDEX(Modelos!$J$2:$J$301,MATCH($B500,Modelos!$C$2:$C$301,0)),""))</f>
        <v/>
      </c>
      <c r="Q500" s="7" t="str">
        <f>IFERROR(INDEX(Diccionarios!$B$2:$B$201,MATCH($A500,Diccionarios!$D$2:$D$201,0))&amp;"","")</f>
        <v/>
      </c>
      <c r="R500" s="7" t="str">
        <f>IFERROR(INDEX(Diccionarios!$C$2:$C$201,MATCH($A500,Diccionarios!$D$2:$D$201,0))&amp;"","")</f>
        <v/>
      </c>
      <c r="S500" s="7" t="str">
        <f>IFERROR(INDEX(Modelos!$K$2:$K$301,MATCH($B500,Modelos!$C$2:$C$301,0))&amp;"","")</f>
        <v/>
      </c>
      <c r="T500" s="7" t="str">
        <f>IFERROR(INDEX(Modelos!$L$2:$L$301,MATCH($B500,Modelos!$C$2:$C$301,0))&amp;"","")</f>
        <v/>
      </c>
    </row>
    <row r="501" spans="1:20" x14ac:dyDescent="0.25">
      <c r="A501" s="5"/>
      <c r="B501" s="5"/>
      <c r="C501" s="5"/>
      <c r="D501" s="6"/>
      <c r="E501" s="5"/>
      <c r="F501" s="7" t="str">
        <f>IF(AND(A501&lt;&gt;"",B501&lt;&gt;"",C501&lt;&gt;"",D501&lt;&gt;""),LEFT(A501,2)&amp;LEFT(B501,4)&amp;LEFT(C501,2)&amp;SUBSTITUTE(UPPER(D501),"Ú","U"),"")</f>
        <v/>
      </c>
      <c r="G501" s="7" t="str">
        <f>IFERROR(INDEX(Modelos!$B$2:$B$301,MATCH($B501,Modelos!$C$2:$C$301,0))&amp;"","")</f>
        <v/>
      </c>
      <c r="H501" s="7" t="str">
        <f>IFERROR(INDEX(Modelos!$D$2:$D$301,MATCH($B501,Modelos!$C$2:$C$301,0))&amp;"","")</f>
        <v/>
      </c>
      <c r="I501" s="7" t="str">
        <f>IFERROR(INDEX(Modelos!$E$2:$E$301,MATCH($B501,Modelos!$C$2:$C$301,0))&amp;"","")</f>
        <v/>
      </c>
      <c r="J501" s="7" t="str">
        <f>IFERROR(INDEX(Modelos!$F$2:$F$301,MATCH($B501,Modelos!$C$2:$C$301,0))&amp;"","")</f>
        <v/>
      </c>
      <c r="K501" s="7" t="str">
        <f>IFERROR(INDEX(Modelos!$G$2:$G$301,MATCH($B501,Modelos!$C$2:$C$301,0))&amp;"","")</f>
        <v/>
      </c>
      <c r="L501" s="7" t="str">
        <f>IFERROR(INDEX(Diccionarios!$G$2:$G$201,MATCH($C501,Diccionarios!$H$2:$H$201,0))&amp;"","")</f>
        <v/>
      </c>
      <c r="M501" s="7" t="str">
        <f>IF(D501="","",D501&amp;"")</f>
        <v/>
      </c>
      <c r="N501" s="8" t="str">
        <f>IF($B501="","",IFERROR(INDEX(Modelos!$H$2:$H$301,MATCH($B501,Modelos!$C$2:$C$301,0)),""))</f>
        <v/>
      </c>
      <c r="O501" s="8" t="str">
        <f>IF($B501="","",IFERROR(INDEX(Modelos!$I$2:$I$301,MATCH($B501,Modelos!$C$2:$C$301,0)),""))</f>
        <v/>
      </c>
      <c r="P501" s="8" t="str">
        <f>IF($B501="","",IFERROR(INDEX(Modelos!$J$2:$J$301,MATCH($B501,Modelos!$C$2:$C$301,0)),""))</f>
        <v/>
      </c>
      <c r="Q501" s="7" t="str">
        <f>IFERROR(INDEX(Diccionarios!$B$2:$B$201,MATCH($A501,Diccionarios!$D$2:$D$201,0))&amp;"","")</f>
        <v/>
      </c>
      <c r="R501" s="7" t="str">
        <f>IFERROR(INDEX(Diccionarios!$C$2:$C$201,MATCH($A501,Diccionarios!$D$2:$D$201,0))&amp;"","")</f>
        <v/>
      </c>
      <c r="S501" s="7" t="str">
        <f>IFERROR(INDEX(Modelos!$K$2:$K$301,MATCH($B501,Modelos!$C$2:$C$301,0))&amp;"","")</f>
        <v/>
      </c>
      <c r="T501" s="7" t="str">
        <f>IFERROR(INDEX(Modelos!$L$2:$L$301,MATCH($B501,Modelos!$C$2:$C$301,0))&amp;"","")</f>
        <v/>
      </c>
    </row>
    <row r="502" spans="1:20" x14ac:dyDescent="0.25">
      <c r="A502" s="5"/>
      <c r="B502" s="5"/>
      <c r="C502" s="5"/>
      <c r="D502" s="6"/>
      <c r="E502" s="5"/>
      <c r="F502" s="7" t="str">
        <f>IF(AND(A502&lt;&gt;"",B502&lt;&gt;"",C502&lt;&gt;"",D502&lt;&gt;""),LEFT(A502,2)&amp;LEFT(B502,4)&amp;LEFT(C502,2)&amp;SUBSTITUTE(UPPER(D502),"Ú","U"),"")</f>
        <v/>
      </c>
      <c r="G502" s="7" t="str">
        <f>IFERROR(INDEX(Modelos!$B$2:$B$301,MATCH($B502,Modelos!$C$2:$C$301,0))&amp;"","")</f>
        <v/>
      </c>
      <c r="H502" s="7" t="str">
        <f>IFERROR(INDEX(Modelos!$D$2:$D$301,MATCH($B502,Modelos!$C$2:$C$301,0))&amp;"","")</f>
        <v/>
      </c>
      <c r="I502" s="7" t="str">
        <f>IFERROR(INDEX(Modelos!$E$2:$E$301,MATCH($B502,Modelos!$C$2:$C$301,0))&amp;"","")</f>
        <v/>
      </c>
      <c r="J502" s="7" t="str">
        <f>IFERROR(INDEX(Modelos!$F$2:$F$301,MATCH($B502,Modelos!$C$2:$C$301,0))&amp;"","")</f>
        <v/>
      </c>
      <c r="K502" s="7" t="str">
        <f>IFERROR(INDEX(Modelos!$G$2:$G$301,MATCH($B502,Modelos!$C$2:$C$301,0))&amp;"","")</f>
        <v/>
      </c>
      <c r="L502" s="7" t="str">
        <f>IFERROR(INDEX(Diccionarios!$G$2:$G$201,MATCH($C502,Diccionarios!$H$2:$H$201,0))&amp;"","")</f>
        <v/>
      </c>
      <c r="M502" s="7" t="str">
        <f>IF(D502="","",D502&amp;"")</f>
        <v/>
      </c>
      <c r="N502" s="8" t="str">
        <f>IF($B502="","",IFERROR(INDEX(Modelos!$H$2:$H$301,MATCH($B502,Modelos!$C$2:$C$301,0)),""))</f>
        <v/>
      </c>
      <c r="O502" s="8" t="str">
        <f>IF($B502="","",IFERROR(INDEX(Modelos!$I$2:$I$301,MATCH($B502,Modelos!$C$2:$C$301,0)),""))</f>
        <v/>
      </c>
      <c r="P502" s="8" t="str">
        <f>IF($B502="","",IFERROR(INDEX(Modelos!$J$2:$J$301,MATCH($B502,Modelos!$C$2:$C$301,0)),""))</f>
        <v/>
      </c>
      <c r="Q502" s="7" t="str">
        <f>IFERROR(INDEX(Diccionarios!$B$2:$B$201,MATCH($A502,Diccionarios!$D$2:$D$201,0))&amp;"","")</f>
        <v/>
      </c>
      <c r="R502" s="7" t="str">
        <f>IFERROR(INDEX(Diccionarios!$C$2:$C$201,MATCH($A502,Diccionarios!$D$2:$D$201,0))&amp;"","")</f>
        <v/>
      </c>
      <c r="S502" s="7" t="str">
        <f>IFERROR(INDEX(Modelos!$K$2:$K$301,MATCH($B502,Modelos!$C$2:$C$301,0))&amp;"","")</f>
        <v/>
      </c>
      <c r="T502" s="7" t="str">
        <f>IFERROR(INDEX(Modelos!$L$2:$L$301,MATCH($B502,Modelos!$C$2:$C$301,0))&amp;"","")</f>
        <v/>
      </c>
    </row>
  </sheetData>
  <dataValidations count="10">
    <dataValidation type="list" allowBlank="1" showErrorMessage="1" errorStyle="error" errorTitle="Valor no válido" error="Elegí una opción de la lista. Para agregar opciones, cargalas en la hoja Modelos o Diccionarios." sqref="A10:A502">
      <formula1>OFFSET(Diccionarios!$D$2,0,0,MAX(1,COUNTA(Diccionarios!$B$2:$B$201)),1)</formula1>
    </dataValidation>
    <dataValidation type="list" allowBlank="1" showErrorMessage="1" errorStyle="error" errorTitle="Valor no válido" error="Elegí una opción de la lista. Para agregar opciones, cargalas en la hoja Modelos o Diccionarios." sqref="A3:A502">
      <formula1>OFFSET(Diccionarios!$D$2,0,0,MAX(1,COUNTA(Diccionarios!$B$2:$B$201)),1)</formula1>
    </dataValidation>
    <dataValidation type="list" allowBlank="1" showErrorMessage="1" errorStyle="error" errorTitle="Valor no válido" error="Elegí una opción de la lista. Para agregar opciones, cargalas en la hoja Modelos o Diccionarios." sqref="B10:B502">
      <formula1>OFFSET(Modelos!$C$2,0,0,MAX(1,COUNTA(Modelos!$B$2:$B$301)),1)</formula1>
    </dataValidation>
    <dataValidation type="list" allowBlank="1" showErrorMessage="1" errorStyle="error" errorTitle="Valor no válido" error="Elegí una opción de la lista. Para agregar opciones, cargalas en la hoja Modelos o Diccionarios." sqref="B3:B502">
      <formula1>OFFSET(Modelos!$C$2,0,0,MAX(1,COUNTA(Modelos!$B$2:$B$301)),1)</formula1>
    </dataValidation>
    <dataValidation type="list" allowBlank="1" showErrorMessage="1" errorStyle="error" errorTitle="Valor no válido" error="Elegí una opción de la lista. Para agregar opciones, cargalas en la hoja Modelos o Diccionarios." sqref="C10:C502">
      <formula1>OFFSET(Diccionarios!$H$2,0,0,MAX(1,COUNTA(Diccionarios!$G$2:$G$201)),1)</formula1>
    </dataValidation>
    <dataValidation type="list" allowBlank="1" showErrorMessage="1" errorStyle="error" errorTitle="Valor no válido" error="Elegí una opción de la lista. Para agregar opciones, cargalas en la hoja Modelos o Diccionarios." sqref="C3:C502">
      <formula1>OFFSET(Diccionarios!$H$2,0,0,MAX(1,COUNTA(Diccionarios!$G$2:$G$201)),1)</formula1>
    </dataValidation>
    <dataValidation type="list" allowBlank="1" showErrorMessage="1" errorStyle="error" errorTitle="Valor no válido" error="Elegí una opción de la lista. Para agregar opciones, cargalas en la hoja Modelos o Diccionarios." sqref="D10:D502">
      <formula1>OFFSET(Diccionarios!$J$2,0,0,MAX(1,COUNTA(Diccionarios!$J$2:$J$201)),1)</formula1>
    </dataValidation>
    <dataValidation type="list" allowBlank="1" showErrorMessage="1" errorStyle="error" errorTitle="Valor no válido" error="Elegí una opción de la lista. Para agregar opciones, cargalas en la hoja Modelos o Diccionarios." sqref="D3:D502">
      <formula1>OFFSET(Diccionarios!$J$2,0,0,MAX(1,COUNTA(Diccionarios!$J$2:$J$201)),1)</formula1>
    </dataValidation>
    <dataValidation type="whole" operator="greaterThanOrEqual" allowBlank="1" showErrorMessage="1" errorTitle="Stock no válido" error="El stock tiene que ser un número entero, 0 o más." sqref="E10:E502">
      <formula1>0</formula1>
    </dataValidation>
    <dataValidation type="whole" operator="greaterThanOrEqual" allowBlank="1" showErrorMessage="1" errorTitle="Stock no válido" error="El stock tiene que ser un número entero, 0 o más." sqref="E3:E502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3" width="30" customWidth="1"/>
    <col min="4" max="4" width="14" customWidth="1"/>
    <col min="5" max="5" width="12" customWidth="1"/>
    <col min="6" max="7" width="13" customWidth="1"/>
    <col min="8" max="8" width="12" customWidth="1"/>
    <col min="9" max="9" width="13" customWidth="1"/>
    <col min="10" max="10" width="14" customWidth="1"/>
    <col min="11" max="11" width="11" customWidth="1"/>
    <col min="12" max="12" width="70" customWidth="1"/>
  </cols>
  <sheetData>
    <row r="1" ht="42" customHeight="1" spans="1:12" x14ac:dyDescent="0.25">
      <c r="A1" s="1" t="s">
        <v>36</v>
      </c>
      <c r="B1" s="1" t="s">
        <v>37</v>
      </c>
      <c r="C1" s="2" t="s">
        <v>38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13</v>
      </c>
      <c r="I1" s="1" t="s">
        <v>14</v>
      </c>
      <c r="J1" s="1" t="s">
        <v>15</v>
      </c>
      <c r="K1" s="1" t="s">
        <v>39</v>
      </c>
      <c r="L1" s="1" t="s">
        <v>40</v>
      </c>
    </row>
    <row r="2" spans="1:12" x14ac:dyDescent="0.25">
      <c r="A2" s="9" t="s">
        <v>41</v>
      </c>
      <c r="B2" t="s">
        <v>42</v>
      </c>
      <c r="C2" s="10" t="str">
        <f>IF(OR(A2="",B2=""),"",A2&amp;" - "&amp;B2)</f>
        <v>0001 - Jean Clásico</v>
      </c>
      <c r="D2" t="s">
        <v>43</v>
      </c>
      <c r="E2" t="s">
        <v>44</v>
      </c>
      <c r="F2" t="s">
        <v>45</v>
      </c>
      <c r="H2" s="11"/>
      <c r="I2" s="11"/>
      <c r="J2" s="11"/>
      <c r="L2" s="12"/>
    </row>
    <row r="3" spans="1:12" x14ac:dyDescent="0.25">
      <c r="A3" s="9" t="s">
        <v>46</v>
      </c>
      <c r="B3" t="s">
        <v>47</v>
      </c>
      <c r="C3" s="10" t="str">
        <f>IF(OR(A3="",B3=""),"",A3&amp;" - "&amp;B3)</f>
        <v>0002 - Jean Mom</v>
      </c>
      <c r="D3" t="s">
        <v>43</v>
      </c>
      <c r="E3" t="s">
        <v>44</v>
      </c>
      <c r="F3" t="s">
        <v>48</v>
      </c>
      <c r="H3" s="11"/>
      <c r="I3" s="11"/>
      <c r="J3" s="11"/>
      <c r="L3" s="12"/>
    </row>
    <row r="4" spans="1:12" x14ac:dyDescent="0.25">
      <c r="A4" s="9" t="s">
        <v>49</v>
      </c>
      <c r="B4" t="s">
        <v>50</v>
      </c>
      <c r="C4" s="10" t="str">
        <f>IF(OR(A4="",B4=""),"",A4&amp;" - "&amp;B4)</f>
        <v>0003 - Remera Oversize</v>
      </c>
      <c r="D4" t="s">
        <v>51</v>
      </c>
      <c r="E4" t="s">
        <v>44</v>
      </c>
      <c r="F4" t="s">
        <v>52</v>
      </c>
      <c r="H4" s="11"/>
      <c r="I4" s="11"/>
      <c r="J4" s="11"/>
      <c r="L4" s="12"/>
    </row>
    <row r="5" spans="1:12" x14ac:dyDescent="0.25">
      <c r="A5" s="9" t="s">
        <v>53</v>
      </c>
      <c r="B5" t="s">
        <v>54</v>
      </c>
      <c r="C5" s="10" t="str">
        <f>IF(OR(A5="",B5=""),"",A5&amp;" - "&amp;B5)</f>
        <v>0004 - Remera Básica</v>
      </c>
      <c r="D5" t="s">
        <v>51</v>
      </c>
      <c r="E5" t="s">
        <v>44</v>
      </c>
      <c r="F5" t="s">
        <v>55</v>
      </c>
      <c r="H5" s="11"/>
      <c r="I5" s="11"/>
      <c r="J5" s="11"/>
      <c r="L5" s="12"/>
    </row>
    <row r="6" spans="1:12" x14ac:dyDescent="0.25">
      <c r="A6" s="9" t="s">
        <v>56</v>
      </c>
      <c r="B6" t="s">
        <v>57</v>
      </c>
      <c r="C6" s="10" t="str">
        <f>IF(OR(A6="",B6=""),"",A6&amp;" - "&amp;B6)</f>
        <v>0005 - Buzo Canguro</v>
      </c>
      <c r="D6" t="s">
        <v>58</v>
      </c>
      <c r="E6" t="s">
        <v>44</v>
      </c>
      <c r="F6" t="s">
        <v>59</v>
      </c>
      <c r="H6" s="11"/>
      <c r="I6" s="11"/>
      <c r="J6" s="11"/>
      <c r="L6" s="12"/>
    </row>
    <row r="7" spans="1:12" x14ac:dyDescent="0.25">
      <c r="A7" s="9" t="s">
        <v>60</v>
      </c>
      <c r="B7" t="s">
        <v>61</v>
      </c>
      <c r="C7" s="10" t="str">
        <f>IF(OR(A7="",B7=""),"",A7&amp;" - "&amp;B7)</f>
        <v>0006 - Remera Oversize Essential</v>
      </c>
      <c r="D7" t="s">
        <v>51</v>
      </c>
      <c r="E7" t="s">
        <v>44</v>
      </c>
      <c r="F7" t="s">
        <v>52</v>
      </c>
      <c r="G7" t="s">
        <v>62</v>
      </c>
      <c r="H7" s="11">
        <v>12500</v>
      </c>
      <c r="I7" s="11">
        <v>28000</v>
      </c>
      <c r="J7" s="11">
        <v>25200</v>
      </c>
      <c r="K7" t="s">
        <v>63</v>
      </c>
      <c r="L7" s="12" t="s">
        <v>64</v>
      </c>
    </row>
    <row r="8" spans="1:12" x14ac:dyDescent="0.25">
      <c r="A8" s="9" t="s">
        <v>65</v>
      </c>
      <c r="B8" t="s">
        <v>66</v>
      </c>
      <c r="C8" s="10" t="str">
        <f>IF(OR(A8="",B8=""),"",A8&amp;" - "&amp;B8)</f>
        <v>0007 - Calza Deportiva Tiro Alto</v>
      </c>
      <c r="D8" t="s">
        <v>67</v>
      </c>
      <c r="E8" t="s">
        <v>68</v>
      </c>
      <c r="F8" t="s">
        <v>69</v>
      </c>
      <c r="G8" t="s">
        <v>70</v>
      </c>
      <c r="H8" s="11">
        <v>15000</v>
      </c>
      <c r="I8" s="11">
        <v>36000</v>
      </c>
      <c r="J8" s="11">
        <v>32400</v>
      </c>
      <c r="K8" t="s">
        <v>63</v>
      </c>
      <c r="L8" s="12" t="s">
        <v>71</v>
      </c>
    </row>
    <row r="9" spans="1:12" x14ac:dyDescent="0.25">
      <c r="A9" s="9" t="s">
        <v>72</v>
      </c>
      <c r="B9" t="s">
        <v>73</v>
      </c>
      <c r="C9" s="10" t="str">
        <f>IF(OR(A9="",B9=""),"",A9&amp;" - "&amp;B9)</f>
        <v>0008 - Blazer Sastrero</v>
      </c>
      <c r="D9" t="s">
        <v>74</v>
      </c>
      <c r="E9" t="s">
        <v>75</v>
      </c>
      <c r="F9" t="s">
        <v>76</v>
      </c>
      <c r="G9" t="s">
        <v>77</v>
      </c>
      <c r="H9" s="11">
        <v>54000</v>
      </c>
      <c r="I9" s="11">
        <v>115000</v>
      </c>
      <c r="J9" s="11">
        <v>103500</v>
      </c>
      <c r="K9" t="s">
        <v>63</v>
      </c>
      <c r="L9" s="12" t="s">
        <v>78</v>
      </c>
    </row>
    <row r="10" spans="1:12" x14ac:dyDescent="0.25">
      <c r="A10" s="9"/>
      <c r="C10" s="10" t="str">
        <f>IF(OR(A10="",B10=""),"",A10&amp;" - "&amp;B10)</f>
        <v/>
      </c>
      <c r="H10" s="11"/>
      <c r="I10" s="11"/>
      <c r="J10" s="11"/>
      <c r="L10" s="12"/>
    </row>
    <row r="11" spans="1:12" x14ac:dyDescent="0.25">
      <c r="A11" s="9"/>
      <c r="C11" s="10" t="str">
        <f>IF(OR(A11="",B11=""),"",A11&amp;" - "&amp;B11)</f>
        <v/>
      </c>
      <c r="H11" s="11"/>
      <c r="I11" s="11"/>
      <c r="J11" s="11"/>
      <c r="L11" s="12"/>
    </row>
    <row r="12" spans="1:12" x14ac:dyDescent="0.25">
      <c r="A12" s="9"/>
      <c r="C12" s="10" t="str">
        <f>IF(OR(A12="",B12=""),"",A12&amp;" - "&amp;B12)</f>
        <v/>
      </c>
      <c r="H12" s="11"/>
      <c r="I12" s="11"/>
      <c r="J12" s="11"/>
      <c r="L12" s="12"/>
    </row>
    <row r="13" spans="1:12" x14ac:dyDescent="0.25">
      <c r="A13" s="9"/>
      <c r="C13" s="10" t="str">
        <f>IF(OR(A13="",B13=""),"",A13&amp;" - "&amp;B13)</f>
        <v/>
      </c>
      <c r="H13" s="11"/>
      <c r="I13" s="11"/>
      <c r="J13" s="11"/>
      <c r="L13" s="12"/>
    </row>
    <row r="14" spans="1:12" x14ac:dyDescent="0.25">
      <c r="A14" s="9"/>
      <c r="C14" s="10" t="str">
        <f>IF(OR(A14="",B14=""),"",A14&amp;" - "&amp;B14)</f>
        <v/>
      </c>
      <c r="H14" s="11"/>
      <c r="I14" s="11"/>
      <c r="J14" s="11"/>
      <c r="L14" s="12"/>
    </row>
    <row r="15" spans="1:12" x14ac:dyDescent="0.25">
      <c r="A15" s="9"/>
      <c r="C15" s="10" t="str">
        <f>IF(OR(A15="",B15=""),"",A15&amp;" - "&amp;B15)</f>
        <v/>
      </c>
      <c r="H15" s="11"/>
      <c r="I15" s="11"/>
      <c r="J15" s="11"/>
      <c r="L15" s="12"/>
    </row>
    <row r="16" spans="1:12" x14ac:dyDescent="0.25">
      <c r="A16" s="9"/>
      <c r="C16" s="10" t="str">
        <f>IF(OR(A16="",B16=""),"",A16&amp;" - "&amp;B16)</f>
        <v/>
      </c>
      <c r="H16" s="11"/>
      <c r="I16" s="11"/>
      <c r="J16" s="11"/>
      <c r="L16" s="12"/>
    </row>
    <row r="17" spans="1:12" x14ac:dyDescent="0.25">
      <c r="A17" s="9"/>
      <c r="C17" s="10" t="str">
        <f>IF(OR(A17="",B17=""),"",A17&amp;" - "&amp;B17)</f>
        <v/>
      </c>
      <c r="H17" s="11"/>
      <c r="I17" s="11"/>
      <c r="J17" s="11"/>
      <c r="L17" s="12"/>
    </row>
    <row r="18" spans="1:12" x14ac:dyDescent="0.25">
      <c r="A18" s="9"/>
      <c r="C18" s="10" t="str">
        <f>IF(OR(A18="",B18=""),"",A18&amp;" - "&amp;B18)</f>
        <v/>
      </c>
      <c r="H18" s="11"/>
      <c r="I18" s="11"/>
      <c r="J18" s="11"/>
      <c r="L18" s="12"/>
    </row>
    <row r="19" spans="1:12" x14ac:dyDescent="0.25">
      <c r="A19" s="9"/>
      <c r="C19" s="10" t="str">
        <f>IF(OR(A19="",B19=""),"",A19&amp;" - "&amp;B19)</f>
        <v/>
      </c>
      <c r="H19" s="11"/>
      <c r="I19" s="11"/>
      <c r="J19" s="11"/>
      <c r="L19" s="12"/>
    </row>
    <row r="20" spans="1:12" x14ac:dyDescent="0.25">
      <c r="A20" s="9"/>
      <c r="C20" s="10" t="str">
        <f>IF(OR(A20="",B20=""),"",A20&amp;" - "&amp;B20)</f>
        <v/>
      </c>
      <c r="H20" s="11"/>
      <c r="I20" s="11"/>
      <c r="J20" s="11"/>
      <c r="L20" s="12"/>
    </row>
    <row r="21" spans="1:12" x14ac:dyDescent="0.25">
      <c r="A21" s="9"/>
      <c r="C21" s="10" t="str">
        <f>IF(OR(A21="",B21=""),"",A21&amp;" - "&amp;B21)</f>
        <v/>
      </c>
      <c r="H21" s="11"/>
      <c r="I21" s="11"/>
      <c r="J21" s="11"/>
      <c r="L21" s="12"/>
    </row>
    <row r="22" spans="1:12" x14ac:dyDescent="0.25">
      <c r="A22" s="9"/>
      <c r="C22" s="10" t="str">
        <f>IF(OR(A22="",B22=""),"",A22&amp;" - "&amp;B22)</f>
        <v/>
      </c>
      <c r="H22" s="11"/>
      <c r="I22" s="11"/>
      <c r="J22" s="11"/>
      <c r="L22" s="12"/>
    </row>
    <row r="23" spans="1:12" x14ac:dyDescent="0.25">
      <c r="A23" s="9"/>
      <c r="C23" s="10" t="str">
        <f>IF(OR(A23="",B23=""),"",A23&amp;" - "&amp;B23)</f>
        <v/>
      </c>
      <c r="H23" s="11"/>
      <c r="I23" s="11"/>
      <c r="J23" s="11"/>
      <c r="L23" s="12"/>
    </row>
    <row r="24" spans="1:12" x14ac:dyDescent="0.25">
      <c r="A24" s="9"/>
      <c r="C24" s="10" t="str">
        <f>IF(OR(A24="",B24=""),"",A24&amp;" - "&amp;B24)</f>
        <v/>
      </c>
      <c r="H24" s="11"/>
      <c r="I24" s="11"/>
      <c r="J24" s="11"/>
      <c r="L24" s="12"/>
    </row>
    <row r="25" spans="1:12" x14ac:dyDescent="0.25">
      <c r="A25" s="9"/>
      <c r="C25" s="10" t="str">
        <f>IF(OR(A25="",B25=""),"",A25&amp;" - "&amp;B25)</f>
        <v/>
      </c>
      <c r="H25" s="11"/>
      <c r="I25" s="11"/>
      <c r="J25" s="11"/>
      <c r="L25" s="12"/>
    </row>
    <row r="26" spans="1:12" x14ac:dyDescent="0.25">
      <c r="A26" s="9"/>
      <c r="C26" s="10" t="str">
        <f>IF(OR(A26="",B26=""),"",A26&amp;" - "&amp;B26)</f>
        <v/>
      </c>
      <c r="H26" s="11"/>
      <c r="I26" s="11"/>
      <c r="J26" s="11"/>
      <c r="L26" s="12"/>
    </row>
    <row r="27" spans="1:12" x14ac:dyDescent="0.25">
      <c r="A27" s="9"/>
      <c r="C27" s="10" t="str">
        <f>IF(OR(A27="",B27=""),"",A27&amp;" - "&amp;B27)</f>
        <v/>
      </c>
      <c r="H27" s="11"/>
      <c r="I27" s="11"/>
      <c r="J27" s="11"/>
      <c r="L27" s="12"/>
    </row>
    <row r="28" spans="1:12" x14ac:dyDescent="0.25">
      <c r="A28" s="9"/>
      <c r="C28" s="10" t="str">
        <f>IF(OR(A28="",B28=""),"",A28&amp;" - "&amp;B28)</f>
        <v/>
      </c>
      <c r="H28" s="11"/>
      <c r="I28" s="11"/>
      <c r="J28" s="11"/>
      <c r="L28" s="12"/>
    </row>
    <row r="29" spans="1:12" x14ac:dyDescent="0.25">
      <c r="A29" s="9"/>
      <c r="C29" s="10" t="str">
        <f>IF(OR(A29="",B29=""),"",A29&amp;" - "&amp;B29)</f>
        <v/>
      </c>
      <c r="H29" s="11"/>
      <c r="I29" s="11"/>
      <c r="J29" s="11"/>
      <c r="L29" s="12"/>
    </row>
    <row r="30" spans="1:12" x14ac:dyDescent="0.25">
      <c r="A30" s="9"/>
      <c r="C30" s="10" t="str">
        <f>IF(OR(A30="",B30=""),"",A30&amp;" - "&amp;B30)</f>
        <v/>
      </c>
      <c r="H30" s="11"/>
      <c r="I30" s="11"/>
      <c r="J30" s="11"/>
      <c r="L30" s="12"/>
    </row>
    <row r="31" spans="1:12" x14ac:dyDescent="0.25">
      <c r="A31" s="9"/>
      <c r="C31" s="10" t="str">
        <f>IF(OR(A31="",B31=""),"",A31&amp;" - "&amp;B31)</f>
        <v/>
      </c>
      <c r="H31" s="11"/>
      <c r="I31" s="11"/>
      <c r="J31" s="11"/>
      <c r="L31" s="12"/>
    </row>
    <row r="32" spans="1:12" x14ac:dyDescent="0.25">
      <c r="A32" s="9"/>
      <c r="C32" s="10" t="str">
        <f>IF(OR(A32="",B32=""),"",A32&amp;" - "&amp;B32)</f>
        <v/>
      </c>
      <c r="H32" s="11"/>
      <c r="I32" s="11"/>
      <c r="J32" s="11"/>
      <c r="L32" s="12"/>
    </row>
    <row r="33" spans="1:12" x14ac:dyDescent="0.25">
      <c r="A33" s="9"/>
      <c r="C33" s="10" t="str">
        <f>IF(OR(A33="",B33=""),"",A33&amp;" - "&amp;B33)</f>
        <v/>
      </c>
      <c r="H33" s="11"/>
      <c r="I33" s="11"/>
      <c r="J33" s="11"/>
      <c r="L33" s="12"/>
    </row>
    <row r="34" spans="1:12" x14ac:dyDescent="0.25">
      <c r="A34" s="9"/>
      <c r="C34" s="10" t="str">
        <f>IF(OR(A34="",B34=""),"",A34&amp;" - "&amp;B34)</f>
        <v/>
      </c>
      <c r="H34" s="11"/>
      <c r="I34" s="11"/>
      <c r="J34" s="11"/>
      <c r="L34" s="12"/>
    </row>
    <row r="35" spans="1:12" x14ac:dyDescent="0.25">
      <c r="A35" s="9"/>
      <c r="C35" s="10" t="str">
        <f>IF(OR(A35="",B35=""),"",A35&amp;" - "&amp;B35)</f>
        <v/>
      </c>
      <c r="H35" s="11"/>
      <c r="I35" s="11"/>
      <c r="J35" s="11"/>
      <c r="L35" s="12"/>
    </row>
    <row r="36" spans="1:12" x14ac:dyDescent="0.25">
      <c r="A36" s="9"/>
      <c r="C36" s="10" t="str">
        <f>IF(OR(A36="",B36=""),"",A36&amp;" - "&amp;B36)</f>
        <v/>
      </c>
      <c r="H36" s="11"/>
      <c r="I36" s="11"/>
      <c r="J36" s="11"/>
      <c r="L36" s="12"/>
    </row>
    <row r="37" spans="1:12" x14ac:dyDescent="0.25">
      <c r="A37" s="9"/>
      <c r="C37" s="10" t="str">
        <f>IF(OR(A37="",B37=""),"",A37&amp;" - "&amp;B37)</f>
        <v/>
      </c>
      <c r="H37" s="11"/>
      <c r="I37" s="11"/>
      <c r="J37" s="11"/>
      <c r="L37" s="12"/>
    </row>
    <row r="38" spans="1:12" x14ac:dyDescent="0.25">
      <c r="A38" s="9"/>
      <c r="C38" s="10" t="str">
        <f>IF(OR(A38="",B38=""),"",A38&amp;" - "&amp;B38)</f>
        <v/>
      </c>
      <c r="H38" s="11"/>
      <c r="I38" s="11"/>
      <c r="J38" s="11"/>
      <c r="L38" s="12"/>
    </row>
    <row r="39" spans="1:12" x14ac:dyDescent="0.25">
      <c r="A39" s="9"/>
      <c r="C39" s="10" t="str">
        <f>IF(OR(A39="",B39=""),"",A39&amp;" - "&amp;B39)</f>
        <v/>
      </c>
      <c r="H39" s="11"/>
      <c r="I39" s="11"/>
      <c r="J39" s="11"/>
      <c r="L39" s="12"/>
    </row>
    <row r="40" spans="1:12" x14ac:dyDescent="0.25">
      <c r="A40" s="9"/>
      <c r="C40" s="10" t="str">
        <f>IF(OR(A40="",B40=""),"",A40&amp;" - "&amp;B40)</f>
        <v/>
      </c>
      <c r="H40" s="11"/>
      <c r="I40" s="11"/>
      <c r="J40" s="11"/>
      <c r="L40" s="12"/>
    </row>
    <row r="41" spans="1:12" x14ac:dyDescent="0.25">
      <c r="A41" s="9"/>
      <c r="C41" s="10" t="str">
        <f>IF(OR(A41="",B41=""),"",A41&amp;" - "&amp;B41)</f>
        <v/>
      </c>
      <c r="H41" s="11"/>
      <c r="I41" s="11"/>
      <c r="J41" s="11"/>
      <c r="L41" s="12"/>
    </row>
    <row r="42" spans="1:12" x14ac:dyDescent="0.25">
      <c r="A42" s="9"/>
      <c r="C42" s="10" t="str">
        <f>IF(OR(A42="",B42=""),"",A42&amp;" - "&amp;B42)</f>
        <v/>
      </c>
      <c r="H42" s="11"/>
      <c r="I42" s="11"/>
      <c r="J42" s="11"/>
      <c r="L42" s="12"/>
    </row>
    <row r="43" spans="1:12" x14ac:dyDescent="0.25">
      <c r="A43" s="9"/>
      <c r="C43" s="10" t="str">
        <f>IF(OR(A43="",B43=""),"",A43&amp;" - "&amp;B43)</f>
        <v/>
      </c>
      <c r="H43" s="11"/>
      <c r="I43" s="11"/>
      <c r="J43" s="11"/>
      <c r="L43" s="12"/>
    </row>
    <row r="44" spans="1:12" x14ac:dyDescent="0.25">
      <c r="A44" s="9"/>
      <c r="C44" s="10" t="str">
        <f>IF(OR(A44="",B44=""),"",A44&amp;" - "&amp;B44)</f>
        <v/>
      </c>
      <c r="H44" s="11"/>
      <c r="I44" s="11"/>
      <c r="J44" s="11"/>
      <c r="L44" s="12"/>
    </row>
    <row r="45" spans="1:12" x14ac:dyDescent="0.25">
      <c r="A45" s="9"/>
      <c r="C45" s="10" t="str">
        <f>IF(OR(A45="",B45=""),"",A45&amp;" - "&amp;B45)</f>
        <v/>
      </c>
      <c r="H45" s="11"/>
      <c r="I45" s="11"/>
      <c r="J45" s="11"/>
      <c r="L45" s="12"/>
    </row>
    <row r="46" spans="1:12" x14ac:dyDescent="0.25">
      <c r="A46" s="9"/>
      <c r="C46" s="10" t="str">
        <f>IF(OR(A46="",B46=""),"",A46&amp;" - "&amp;B46)</f>
        <v/>
      </c>
      <c r="H46" s="11"/>
      <c r="I46" s="11"/>
      <c r="J46" s="11"/>
      <c r="L46" s="12"/>
    </row>
    <row r="47" spans="1:12" x14ac:dyDescent="0.25">
      <c r="A47" s="9"/>
      <c r="C47" s="10" t="str">
        <f>IF(OR(A47="",B47=""),"",A47&amp;" - "&amp;B47)</f>
        <v/>
      </c>
      <c r="H47" s="11"/>
      <c r="I47" s="11"/>
      <c r="J47" s="11"/>
      <c r="L47" s="12"/>
    </row>
    <row r="48" spans="1:12" x14ac:dyDescent="0.25">
      <c r="A48" s="9"/>
      <c r="C48" s="10" t="str">
        <f>IF(OR(A48="",B48=""),"",A48&amp;" - "&amp;B48)</f>
        <v/>
      </c>
      <c r="H48" s="11"/>
      <c r="I48" s="11"/>
      <c r="J48" s="11"/>
      <c r="L48" s="12"/>
    </row>
    <row r="49" spans="1:12" x14ac:dyDescent="0.25">
      <c r="A49" s="9"/>
      <c r="C49" s="10" t="str">
        <f>IF(OR(A49="",B49=""),"",A49&amp;" - "&amp;B49)</f>
        <v/>
      </c>
      <c r="H49" s="11"/>
      <c r="I49" s="11"/>
      <c r="J49" s="11"/>
      <c r="L49" s="12"/>
    </row>
    <row r="50" spans="1:12" x14ac:dyDescent="0.25">
      <c r="A50" s="9"/>
      <c r="C50" s="10" t="str">
        <f>IF(OR(A50="",B50=""),"",A50&amp;" - "&amp;B50)</f>
        <v/>
      </c>
      <c r="H50" s="11"/>
      <c r="I50" s="11"/>
      <c r="J50" s="11"/>
      <c r="L50" s="12"/>
    </row>
    <row r="51" spans="1:12" x14ac:dyDescent="0.25">
      <c r="A51" s="9"/>
      <c r="C51" s="10" t="str">
        <f>IF(OR(A51="",B51=""),"",A51&amp;" - "&amp;B51)</f>
        <v/>
      </c>
      <c r="H51" s="11"/>
      <c r="I51" s="11"/>
      <c r="J51" s="11"/>
      <c r="L51" s="12"/>
    </row>
    <row r="52" spans="1:12" x14ac:dyDescent="0.25">
      <c r="A52" s="9"/>
      <c r="C52" s="10" t="str">
        <f>IF(OR(A52="",B52=""),"",A52&amp;" - "&amp;B52)</f>
        <v/>
      </c>
      <c r="H52" s="11"/>
      <c r="I52" s="11"/>
      <c r="J52" s="11"/>
      <c r="L52" s="12"/>
    </row>
    <row r="53" spans="1:12" x14ac:dyDescent="0.25">
      <c r="A53" s="9"/>
      <c r="C53" s="10" t="str">
        <f>IF(OR(A53="",B53=""),"",A53&amp;" - "&amp;B53)</f>
        <v/>
      </c>
      <c r="H53" s="11"/>
      <c r="I53" s="11"/>
      <c r="J53" s="11"/>
      <c r="L53" s="12"/>
    </row>
    <row r="54" spans="1:12" x14ac:dyDescent="0.25">
      <c r="A54" s="9"/>
      <c r="C54" s="10" t="str">
        <f>IF(OR(A54="",B54=""),"",A54&amp;" - "&amp;B54)</f>
        <v/>
      </c>
      <c r="H54" s="11"/>
      <c r="I54" s="11"/>
      <c r="J54" s="11"/>
      <c r="L54" s="12"/>
    </row>
    <row r="55" spans="1:12" x14ac:dyDescent="0.25">
      <c r="A55" s="9"/>
      <c r="C55" s="10" t="str">
        <f>IF(OR(A55="",B55=""),"",A55&amp;" - "&amp;B55)</f>
        <v/>
      </c>
      <c r="H55" s="11"/>
      <c r="I55" s="11"/>
      <c r="J55" s="11"/>
      <c r="L55" s="12"/>
    </row>
    <row r="56" spans="1:12" x14ac:dyDescent="0.25">
      <c r="A56" s="9"/>
      <c r="C56" s="10" t="str">
        <f>IF(OR(A56="",B56=""),"",A56&amp;" - "&amp;B56)</f>
        <v/>
      </c>
      <c r="H56" s="11"/>
      <c r="I56" s="11"/>
      <c r="J56" s="11"/>
      <c r="L56" s="12"/>
    </row>
    <row r="57" spans="1:12" x14ac:dyDescent="0.25">
      <c r="A57" s="9"/>
      <c r="C57" s="10" t="str">
        <f>IF(OR(A57="",B57=""),"",A57&amp;" - "&amp;B57)</f>
        <v/>
      </c>
      <c r="H57" s="11"/>
      <c r="I57" s="11"/>
      <c r="J57" s="11"/>
      <c r="L57" s="12"/>
    </row>
    <row r="58" spans="1:12" x14ac:dyDescent="0.25">
      <c r="A58" s="9"/>
      <c r="C58" s="10" t="str">
        <f>IF(OR(A58="",B58=""),"",A58&amp;" - "&amp;B58)</f>
        <v/>
      </c>
      <c r="H58" s="11"/>
      <c r="I58" s="11"/>
      <c r="J58" s="11"/>
      <c r="L58" s="12"/>
    </row>
    <row r="59" spans="1:12" x14ac:dyDescent="0.25">
      <c r="A59" s="9"/>
      <c r="C59" s="10" t="str">
        <f>IF(OR(A59="",B59=""),"",A59&amp;" - "&amp;B59)</f>
        <v/>
      </c>
      <c r="H59" s="11"/>
      <c r="I59" s="11"/>
      <c r="J59" s="11"/>
      <c r="L59" s="12"/>
    </row>
    <row r="60" spans="1:12" x14ac:dyDescent="0.25">
      <c r="A60" s="9"/>
      <c r="C60" s="10" t="str">
        <f>IF(OR(A60="",B60=""),"",A60&amp;" - "&amp;B60)</f>
        <v/>
      </c>
      <c r="H60" s="11"/>
      <c r="I60" s="11"/>
      <c r="J60" s="11"/>
      <c r="L60" s="12"/>
    </row>
    <row r="61" spans="1:12" x14ac:dyDescent="0.25">
      <c r="A61" s="9"/>
      <c r="C61" s="10" t="str">
        <f>IF(OR(A61="",B61=""),"",A61&amp;" - "&amp;B61)</f>
        <v/>
      </c>
      <c r="H61" s="11"/>
      <c r="I61" s="11"/>
      <c r="J61" s="11"/>
      <c r="L61" s="12"/>
    </row>
    <row r="62" spans="1:12" x14ac:dyDescent="0.25">
      <c r="A62" s="9"/>
      <c r="C62" s="10" t="str">
        <f>IF(OR(A62="",B62=""),"",A62&amp;" - "&amp;B62)</f>
        <v/>
      </c>
      <c r="H62" s="11"/>
      <c r="I62" s="11"/>
      <c r="J62" s="11"/>
      <c r="L62" s="12"/>
    </row>
    <row r="63" spans="1:12" x14ac:dyDescent="0.25">
      <c r="A63" s="9"/>
      <c r="C63" s="10" t="str">
        <f>IF(OR(A63="",B63=""),"",A63&amp;" - "&amp;B63)</f>
        <v/>
      </c>
      <c r="H63" s="11"/>
      <c r="I63" s="11"/>
      <c r="J63" s="11"/>
      <c r="L63" s="12"/>
    </row>
    <row r="64" spans="1:12" x14ac:dyDescent="0.25">
      <c r="A64" s="9"/>
      <c r="C64" s="10" t="str">
        <f>IF(OR(A64="",B64=""),"",A64&amp;" - "&amp;B64)</f>
        <v/>
      </c>
      <c r="H64" s="11"/>
      <c r="I64" s="11"/>
      <c r="J64" s="11"/>
      <c r="L64" s="12"/>
    </row>
    <row r="65" spans="1:12" x14ac:dyDescent="0.25">
      <c r="A65" s="9"/>
      <c r="C65" s="10" t="str">
        <f>IF(OR(A65="",B65=""),"",A65&amp;" - "&amp;B65)</f>
        <v/>
      </c>
      <c r="H65" s="11"/>
      <c r="I65" s="11"/>
      <c r="J65" s="11"/>
      <c r="L65" s="12"/>
    </row>
    <row r="66" spans="1:12" x14ac:dyDescent="0.25">
      <c r="A66" s="9"/>
      <c r="C66" s="10" t="str">
        <f>IF(OR(A66="",B66=""),"",A66&amp;" - "&amp;B66)</f>
        <v/>
      </c>
      <c r="H66" s="11"/>
      <c r="I66" s="11"/>
      <c r="J66" s="11"/>
      <c r="L66" s="12"/>
    </row>
    <row r="67" spans="1:12" x14ac:dyDescent="0.25">
      <c r="A67" s="9"/>
      <c r="C67" s="10" t="str">
        <f>IF(OR(A67="",B67=""),"",A67&amp;" - "&amp;B67)</f>
        <v/>
      </c>
      <c r="H67" s="11"/>
      <c r="I67" s="11"/>
      <c r="J67" s="11"/>
      <c r="L67" s="12"/>
    </row>
    <row r="68" spans="1:12" x14ac:dyDescent="0.25">
      <c r="A68" s="9"/>
      <c r="C68" s="10" t="str">
        <f>IF(OR(A68="",B68=""),"",A68&amp;" - "&amp;B68)</f>
        <v/>
      </c>
      <c r="H68" s="11"/>
      <c r="I68" s="11"/>
      <c r="J68" s="11"/>
      <c r="L68" s="12"/>
    </row>
    <row r="69" spans="1:12" x14ac:dyDescent="0.25">
      <c r="A69" s="9"/>
      <c r="C69" s="10" t="str">
        <f>IF(OR(A69="",B69=""),"",A69&amp;" - "&amp;B69)</f>
        <v/>
      </c>
      <c r="H69" s="11"/>
      <c r="I69" s="11"/>
      <c r="J69" s="11"/>
      <c r="L69" s="12"/>
    </row>
    <row r="70" spans="1:12" x14ac:dyDescent="0.25">
      <c r="A70" s="9"/>
      <c r="C70" s="10" t="str">
        <f>IF(OR(A70="",B70=""),"",A70&amp;" - "&amp;B70)</f>
        <v/>
      </c>
      <c r="H70" s="11"/>
      <c r="I70" s="11"/>
      <c r="J70" s="11"/>
      <c r="L70" s="12"/>
    </row>
    <row r="71" spans="1:12" x14ac:dyDescent="0.25">
      <c r="A71" s="9"/>
      <c r="C71" s="10" t="str">
        <f>IF(OR(A71="",B71=""),"",A71&amp;" - "&amp;B71)</f>
        <v/>
      </c>
      <c r="H71" s="11"/>
      <c r="I71" s="11"/>
      <c r="J71" s="11"/>
      <c r="L71" s="12"/>
    </row>
    <row r="72" spans="1:12" x14ac:dyDescent="0.25">
      <c r="A72" s="9"/>
      <c r="C72" s="10" t="str">
        <f>IF(OR(A72="",B72=""),"",A72&amp;" - "&amp;B72)</f>
        <v/>
      </c>
      <c r="H72" s="11"/>
      <c r="I72" s="11"/>
      <c r="J72" s="11"/>
      <c r="L72" s="12"/>
    </row>
    <row r="73" spans="1:12" x14ac:dyDescent="0.25">
      <c r="A73" s="9"/>
      <c r="C73" s="10" t="str">
        <f>IF(OR(A73="",B73=""),"",A73&amp;" - "&amp;B73)</f>
        <v/>
      </c>
      <c r="H73" s="11"/>
      <c r="I73" s="11"/>
      <c r="J73" s="11"/>
      <c r="L73" s="12"/>
    </row>
    <row r="74" spans="1:12" x14ac:dyDescent="0.25">
      <c r="A74" s="9"/>
      <c r="C74" s="10" t="str">
        <f>IF(OR(A74="",B74=""),"",A74&amp;" - "&amp;B74)</f>
        <v/>
      </c>
      <c r="H74" s="11"/>
      <c r="I74" s="11"/>
      <c r="J74" s="11"/>
      <c r="L74" s="12"/>
    </row>
    <row r="75" spans="1:12" x14ac:dyDescent="0.25">
      <c r="A75" s="9"/>
      <c r="C75" s="10" t="str">
        <f>IF(OR(A75="",B75=""),"",A75&amp;" - "&amp;B75)</f>
        <v/>
      </c>
      <c r="H75" s="11"/>
      <c r="I75" s="11"/>
      <c r="J75" s="11"/>
      <c r="L75" s="12"/>
    </row>
    <row r="76" spans="1:12" x14ac:dyDescent="0.25">
      <c r="A76" s="9"/>
      <c r="C76" s="10" t="str">
        <f>IF(OR(A76="",B76=""),"",A76&amp;" - "&amp;B76)</f>
        <v/>
      </c>
      <c r="H76" s="11"/>
      <c r="I76" s="11"/>
      <c r="J76" s="11"/>
      <c r="L76" s="12"/>
    </row>
    <row r="77" spans="1:12" x14ac:dyDescent="0.25">
      <c r="A77" s="9"/>
      <c r="C77" s="10" t="str">
        <f>IF(OR(A77="",B77=""),"",A77&amp;" - "&amp;B77)</f>
        <v/>
      </c>
      <c r="H77" s="11"/>
      <c r="I77" s="11"/>
      <c r="J77" s="11"/>
      <c r="L77" s="12"/>
    </row>
    <row r="78" spans="1:12" x14ac:dyDescent="0.25">
      <c r="A78" s="9"/>
      <c r="C78" s="10" t="str">
        <f>IF(OR(A78="",B78=""),"",A78&amp;" - "&amp;B78)</f>
        <v/>
      </c>
      <c r="H78" s="11"/>
      <c r="I78" s="11"/>
      <c r="J78" s="11"/>
      <c r="L78" s="12"/>
    </row>
    <row r="79" spans="1:12" x14ac:dyDescent="0.25">
      <c r="A79" s="9"/>
      <c r="C79" s="10" t="str">
        <f>IF(OR(A79="",B79=""),"",A79&amp;" - "&amp;B79)</f>
        <v/>
      </c>
      <c r="H79" s="11"/>
      <c r="I79" s="11"/>
      <c r="J79" s="11"/>
      <c r="L79" s="12"/>
    </row>
    <row r="80" spans="1:12" x14ac:dyDescent="0.25">
      <c r="A80" s="9"/>
      <c r="C80" s="10" t="str">
        <f>IF(OR(A80="",B80=""),"",A80&amp;" - "&amp;B80)</f>
        <v/>
      </c>
      <c r="H80" s="11"/>
      <c r="I80" s="11"/>
      <c r="J80" s="11"/>
      <c r="L80" s="12"/>
    </row>
    <row r="81" spans="1:12" x14ac:dyDescent="0.25">
      <c r="A81" s="9"/>
      <c r="C81" s="10" t="str">
        <f>IF(OR(A81="",B81=""),"",A81&amp;" - "&amp;B81)</f>
        <v/>
      </c>
      <c r="H81" s="11"/>
      <c r="I81" s="11"/>
      <c r="J81" s="11"/>
      <c r="L81" s="12"/>
    </row>
    <row r="82" spans="1:12" x14ac:dyDescent="0.25">
      <c r="A82" s="9"/>
      <c r="C82" s="10" t="str">
        <f>IF(OR(A82="",B82=""),"",A82&amp;" - "&amp;B82)</f>
        <v/>
      </c>
      <c r="H82" s="11"/>
      <c r="I82" s="11"/>
      <c r="J82" s="11"/>
      <c r="L82" s="12"/>
    </row>
    <row r="83" spans="1:12" x14ac:dyDescent="0.25">
      <c r="A83" s="9"/>
      <c r="C83" s="10" t="str">
        <f>IF(OR(A83="",B83=""),"",A83&amp;" - "&amp;B83)</f>
        <v/>
      </c>
      <c r="H83" s="11"/>
      <c r="I83" s="11"/>
      <c r="J83" s="11"/>
      <c r="L83" s="12"/>
    </row>
    <row r="84" spans="1:12" x14ac:dyDescent="0.25">
      <c r="A84" s="9"/>
      <c r="C84" s="10" t="str">
        <f>IF(OR(A84="",B84=""),"",A84&amp;" - "&amp;B84)</f>
        <v/>
      </c>
      <c r="H84" s="11"/>
      <c r="I84" s="11"/>
      <c r="J84" s="11"/>
      <c r="L84" s="12"/>
    </row>
    <row r="85" spans="1:12" x14ac:dyDescent="0.25">
      <c r="A85" s="9"/>
      <c r="C85" s="10" t="str">
        <f>IF(OR(A85="",B85=""),"",A85&amp;" - "&amp;B85)</f>
        <v/>
      </c>
      <c r="H85" s="11"/>
      <c r="I85" s="11"/>
      <c r="J85" s="11"/>
      <c r="L85" s="12"/>
    </row>
    <row r="86" spans="1:12" x14ac:dyDescent="0.25">
      <c r="A86" s="9"/>
      <c r="C86" s="10" t="str">
        <f>IF(OR(A86="",B86=""),"",A86&amp;" - "&amp;B86)</f>
        <v/>
      </c>
      <c r="H86" s="11"/>
      <c r="I86" s="11"/>
      <c r="J86" s="11"/>
      <c r="L86" s="12"/>
    </row>
    <row r="87" spans="1:12" x14ac:dyDescent="0.25">
      <c r="A87" s="9"/>
      <c r="C87" s="10" t="str">
        <f>IF(OR(A87="",B87=""),"",A87&amp;" - "&amp;B87)</f>
        <v/>
      </c>
      <c r="H87" s="11"/>
      <c r="I87" s="11"/>
      <c r="J87" s="11"/>
      <c r="L87" s="12"/>
    </row>
    <row r="88" spans="1:12" x14ac:dyDescent="0.25">
      <c r="A88" s="9"/>
      <c r="C88" s="10" t="str">
        <f>IF(OR(A88="",B88=""),"",A88&amp;" - "&amp;B88)</f>
        <v/>
      </c>
      <c r="H88" s="11"/>
      <c r="I88" s="11"/>
      <c r="J88" s="11"/>
      <c r="L88" s="12"/>
    </row>
    <row r="89" spans="1:12" x14ac:dyDescent="0.25">
      <c r="A89" s="9"/>
      <c r="C89" s="10" t="str">
        <f>IF(OR(A89="",B89=""),"",A89&amp;" - "&amp;B89)</f>
        <v/>
      </c>
      <c r="H89" s="11"/>
      <c r="I89" s="11"/>
      <c r="J89" s="11"/>
      <c r="L89" s="12"/>
    </row>
    <row r="90" spans="1:12" x14ac:dyDescent="0.25">
      <c r="A90" s="9"/>
      <c r="C90" s="10" t="str">
        <f>IF(OR(A90="",B90=""),"",A90&amp;" - "&amp;B90)</f>
        <v/>
      </c>
      <c r="H90" s="11"/>
      <c r="I90" s="11"/>
      <c r="J90" s="11"/>
      <c r="L90" s="12"/>
    </row>
    <row r="91" spans="1:12" x14ac:dyDescent="0.25">
      <c r="A91" s="9"/>
      <c r="C91" s="10" t="str">
        <f>IF(OR(A91="",B91=""),"",A91&amp;" - "&amp;B91)</f>
        <v/>
      </c>
      <c r="H91" s="11"/>
      <c r="I91" s="11"/>
      <c r="J91" s="11"/>
      <c r="L91" s="12"/>
    </row>
    <row r="92" spans="1:12" x14ac:dyDescent="0.25">
      <c r="A92" s="9"/>
      <c r="C92" s="10" t="str">
        <f>IF(OR(A92="",B92=""),"",A92&amp;" - "&amp;B92)</f>
        <v/>
      </c>
      <c r="H92" s="11"/>
      <c r="I92" s="11"/>
      <c r="J92" s="11"/>
      <c r="L92" s="12"/>
    </row>
    <row r="93" spans="1:12" x14ac:dyDescent="0.25">
      <c r="A93" s="9"/>
      <c r="C93" s="10" t="str">
        <f>IF(OR(A93="",B93=""),"",A93&amp;" - "&amp;B93)</f>
        <v/>
      </c>
      <c r="H93" s="11"/>
      <c r="I93" s="11"/>
      <c r="J93" s="11"/>
      <c r="L93" s="12"/>
    </row>
    <row r="94" spans="1:12" x14ac:dyDescent="0.25">
      <c r="A94" s="9"/>
      <c r="C94" s="10" t="str">
        <f>IF(OR(A94="",B94=""),"",A94&amp;" - "&amp;B94)</f>
        <v/>
      </c>
      <c r="H94" s="11"/>
      <c r="I94" s="11"/>
      <c r="J94" s="11"/>
      <c r="L94" s="12"/>
    </row>
    <row r="95" spans="1:12" x14ac:dyDescent="0.25">
      <c r="A95" s="9"/>
      <c r="C95" s="10" t="str">
        <f>IF(OR(A95="",B95=""),"",A95&amp;" - "&amp;B95)</f>
        <v/>
      </c>
      <c r="H95" s="11"/>
      <c r="I95" s="11"/>
      <c r="J95" s="11"/>
      <c r="L95" s="12"/>
    </row>
    <row r="96" spans="1:12" x14ac:dyDescent="0.25">
      <c r="A96" s="9"/>
      <c r="C96" s="10" t="str">
        <f>IF(OR(A96="",B96=""),"",A96&amp;" - "&amp;B96)</f>
        <v/>
      </c>
      <c r="H96" s="11"/>
      <c r="I96" s="11"/>
      <c r="J96" s="11"/>
      <c r="L96" s="12"/>
    </row>
    <row r="97" spans="1:12" x14ac:dyDescent="0.25">
      <c r="A97" s="9"/>
      <c r="C97" s="10" t="str">
        <f>IF(OR(A97="",B97=""),"",A97&amp;" - "&amp;B97)</f>
        <v/>
      </c>
      <c r="H97" s="11"/>
      <c r="I97" s="11"/>
      <c r="J97" s="11"/>
      <c r="L97" s="12"/>
    </row>
    <row r="98" spans="1:12" x14ac:dyDescent="0.25">
      <c r="A98" s="9"/>
      <c r="C98" s="10" t="str">
        <f>IF(OR(A98="",B98=""),"",A98&amp;" - "&amp;B98)</f>
        <v/>
      </c>
      <c r="H98" s="11"/>
      <c r="I98" s="11"/>
      <c r="J98" s="11"/>
      <c r="L98" s="12"/>
    </row>
    <row r="99" spans="1:12" x14ac:dyDescent="0.25">
      <c r="A99" s="9"/>
      <c r="C99" s="10" t="str">
        <f>IF(OR(A99="",B99=""),"",A99&amp;" - "&amp;B99)</f>
        <v/>
      </c>
      <c r="H99" s="11"/>
      <c r="I99" s="11"/>
      <c r="J99" s="11"/>
      <c r="L99" s="12"/>
    </row>
    <row r="100" spans="1:12" x14ac:dyDescent="0.25">
      <c r="A100" s="9"/>
      <c r="C100" s="10" t="str">
        <f>IF(OR(A100="",B100=""),"",A100&amp;" - "&amp;B100)</f>
        <v/>
      </c>
      <c r="H100" s="11"/>
      <c r="I100" s="11"/>
      <c r="J100" s="11"/>
      <c r="L100" s="12"/>
    </row>
    <row r="101" spans="1:12" x14ac:dyDescent="0.25">
      <c r="A101" s="9"/>
      <c r="C101" s="10" t="str">
        <f>IF(OR(A101="",B101=""),"",A101&amp;" - "&amp;B101)</f>
        <v/>
      </c>
      <c r="H101" s="11"/>
      <c r="I101" s="11"/>
      <c r="J101" s="11"/>
      <c r="L101" s="12"/>
    </row>
    <row r="102" spans="1:12" x14ac:dyDescent="0.25">
      <c r="A102" s="9"/>
      <c r="C102" s="10" t="str">
        <f>IF(OR(A102="",B102=""),"",A102&amp;" - "&amp;B102)</f>
        <v/>
      </c>
      <c r="H102" s="11"/>
      <c r="I102" s="11"/>
      <c r="J102" s="11"/>
      <c r="L102" s="12"/>
    </row>
    <row r="103" spans="1:12" x14ac:dyDescent="0.25">
      <c r="A103" s="9"/>
      <c r="C103" s="10" t="str">
        <f>IF(OR(A103="",B103=""),"",A103&amp;" - "&amp;B103)</f>
        <v/>
      </c>
      <c r="H103" s="11"/>
      <c r="I103" s="11"/>
      <c r="J103" s="11"/>
      <c r="L103" s="12"/>
    </row>
    <row r="104" spans="1:12" x14ac:dyDescent="0.25">
      <c r="A104" s="9"/>
      <c r="C104" s="10" t="str">
        <f>IF(OR(A104="",B104=""),"",A104&amp;" - "&amp;B104)</f>
        <v/>
      </c>
      <c r="H104" s="11"/>
      <c r="I104" s="11"/>
      <c r="J104" s="11"/>
      <c r="L104" s="12"/>
    </row>
    <row r="105" spans="1:12" x14ac:dyDescent="0.25">
      <c r="A105" s="9"/>
      <c r="C105" s="10" t="str">
        <f>IF(OR(A105="",B105=""),"",A105&amp;" - "&amp;B105)</f>
        <v/>
      </c>
      <c r="H105" s="11"/>
      <c r="I105" s="11"/>
      <c r="J105" s="11"/>
      <c r="L105" s="12"/>
    </row>
    <row r="106" spans="1:12" x14ac:dyDescent="0.25">
      <c r="A106" s="9"/>
      <c r="C106" s="10" t="str">
        <f>IF(OR(A106="",B106=""),"",A106&amp;" - "&amp;B106)</f>
        <v/>
      </c>
      <c r="H106" s="11"/>
      <c r="I106" s="11"/>
      <c r="J106" s="11"/>
      <c r="L106" s="12"/>
    </row>
    <row r="107" spans="1:12" x14ac:dyDescent="0.25">
      <c r="A107" s="9"/>
      <c r="C107" s="10" t="str">
        <f>IF(OR(A107="",B107=""),"",A107&amp;" - "&amp;B107)</f>
        <v/>
      </c>
      <c r="H107" s="11"/>
      <c r="I107" s="11"/>
      <c r="J107" s="11"/>
      <c r="L107" s="12"/>
    </row>
    <row r="108" spans="1:12" x14ac:dyDescent="0.25">
      <c r="A108" s="9"/>
      <c r="C108" s="10" t="str">
        <f>IF(OR(A108="",B108=""),"",A108&amp;" - "&amp;B108)</f>
        <v/>
      </c>
      <c r="H108" s="11"/>
      <c r="I108" s="11"/>
      <c r="J108" s="11"/>
      <c r="L108" s="12"/>
    </row>
    <row r="109" spans="1:12" x14ac:dyDescent="0.25">
      <c r="A109" s="9"/>
      <c r="C109" s="10" t="str">
        <f>IF(OR(A109="",B109=""),"",A109&amp;" - "&amp;B109)</f>
        <v/>
      </c>
      <c r="H109" s="11"/>
      <c r="I109" s="11"/>
      <c r="J109" s="11"/>
      <c r="L109" s="12"/>
    </row>
    <row r="110" spans="1:12" x14ac:dyDescent="0.25">
      <c r="A110" s="9"/>
      <c r="C110" s="10" t="str">
        <f>IF(OR(A110="",B110=""),"",A110&amp;" - "&amp;B110)</f>
        <v/>
      </c>
      <c r="H110" s="11"/>
      <c r="I110" s="11"/>
      <c r="J110" s="11"/>
      <c r="L110" s="12"/>
    </row>
    <row r="111" spans="1:12" x14ac:dyDescent="0.25">
      <c r="A111" s="9"/>
      <c r="C111" s="10" t="str">
        <f>IF(OR(A111="",B111=""),"",A111&amp;" - "&amp;B111)</f>
        <v/>
      </c>
      <c r="H111" s="11"/>
      <c r="I111" s="11"/>
      <c r="J111" s="11"/>
      <c r="L111" s="12"/>
    </row>
    <row r="112" spans="1:12" x14ac:dyDescent="0.25">
      <c r="A112" s="9"/>
      <c r="C112" s="10" t="str">
        <f>IF(OR(A112="",B112=""),"",A112&amp;" - "&amp;B112)</f>
        <v/>
      </c>
      <c r="H112" s="11"/>
      <c r="I112" s="11"/>
      <c r="J112" s="11"/>
      <c r="L112" s="12"/>
    </row>
    <row r="113" spans="1:12" x14ac:dyDescent="0.25">
      <c r="A113" s="9"/>
      <c r="C113" s="10" t="str">
        <f>IF(OR(A113="",B113=""),"",A113&amp;" - "&amp;B113)</f>
        <v/>
      </c>
      <c r="H113" s="11"/>
      <c r="I113" s="11"/>
      <c r="J113" s="11"/>
      <c r="L113" s="12"/>
    </row>
    <row r="114" spans="1:12" x14ac:dyDescent="0.25">
      <c r="A114" s="9"/>
      <c r="C114" s="10" t="str">
        <f>IF(OR(A114="",B114=""),"",A114&amp;" - "&amp;B114)</f>
        <v/>
      </c>
      <c r="H114" s="11"/>
      <c r="I114" s="11"/>
      <c r="J114" s="11"/>
      <c r="L114" s="12"/>
    </row>
    <row r="115" spans="1:12" x14ac:dyDescent="0.25">
      <c r="A115" s="9"/>
      <c r="C115" s="10" t="str">
        <f>IF(OR(A115="",B115=""),"",A115&amp;" - "&amp;B115)</f>
        <v/>
      </c>
      <c r="H115" s="11"/>
      <c r="I115" s="11"/>
      <c r="J115" s="11"/>
      <c r="L115" s="12"/>
    </row>
    <row r="116" spans="1:12" x14ac:dyDescent="0.25">
      <c r="A116" s="9"/>
      <c r="C116" s="10" t="str">
        <f>IF(OR(A116="",B116=""),"",A116&amp;" - "&amp;B116)</f>
        <v/>
      </c>
      <c r="H116" s="11"/>
      <c r="I116" s="11"/>
      <c r="J116" s="11"/>
      <c r="L116" s="12"/>
    </row>
    <row r="117" spans="1:12" x14ac:dyDescent="0.25">
      <c r="A117" s="9"/>
      <c r="C117" s="10" t="str">
        <f>IF(OR(A117="",B117=""),"",A117&amp;" - "&amp;B117)</f>
        <v/>
      </c>
      <c r="H117" s="11"/>
      <c r="I117" s="11"/>
      <c r="J117" s="11"/>
      <c r="L117" s="12"/>
    </row>
    <row r="118" spans="1:12" x14ac:dyDescent="0.25">
      <c r="A118" s="9"/>
      <c r="C118" s="10" t="str">
        <f>IF(OR(A118="",B118=""),"",A118&amp;" - "&amp;B118)</f>
        <v/>
      </c>
      <c r="H118" s="11"/>
      <c r="I118" s="11"/>
      <c r="J118" s="11"/>
      <c r="L118" s="12"/>
    </row>
    <row r="119" spans="1:12" x14ac:dyDescent="0.25">
      <c r="A119" s="9"/>
      <c r="C119" s="10" t="str">
        <f>IF(OR(A119="",B119=""),"",A119&amp;" - "&amp;B119)</f>
        <v/>
      </c>
      <c r="H119" s="11"/>
      <c r="I119" s="11"/>
      <c r="J119" s="11"/>
      <c r="L119" s="12"/>
    </row>
    <row r="120" spans="1:12" x14ac:dyDescent="0.25">
      <c r="A120" s="9"/>
      <c r="C120" s="10" t="str">
        <f>IF(OR(A120="",B120=""),"",A120&amp;" - "&amp;B120)</f>
        <v/>
      </c>
      <c r="H120" s="11"/>
      <c r="I120" s="11"/>
      <c r="J120" s="11"/>
      <c r="L120" s="12"/>
    </row>
    <row r="121" spans="1:12" x14ac:dyDescent="0.25">
      <c r="A121" s="9"/>
      <c r="C121" s="10" t="str">
        <f>IF(OR(A121="",B121=""),"",A121&amp;" - "&amp;B121)</f>
        <v/>
      </c>
      <c r="H121" s="11"/>
      <c r="I121" s="11"/>
      <c r="J121" s="11"/>
      <c r="L121" s="12"/>
    </row>
    <row r="122" spans="1:12" x14ac:dyDescent="0.25">
      <c r="A122" s="9"/>
      <c r="C122" s="10" t="str">
        <f>IF(OR(A122="",B122=""),"",A122&amp;" - "&amp;B122)</f>
        <v/>
      </c>
      <c r="H122" s="11"/>
      <c r="I122" s="11"/>
      <c r="J122" s="11"/>
      <c r="L122" s="12"/>
    </row>
    <row r="123" spans="1:12" x14ac:dyDescent="0.25">
      <c r="A123" s="9"/>
      <c r="C123" s="10" t="str">
        <f>IF(OR(A123="",B123=""),"",A123&amp;" - "&amp;B123)</f>
        <v/>
      </c>
      <c r="H123" s="11"/>
      <c r="I123" s="11"/>
      <c r="J123" s="11"/>
      <c r="L123" s="12"/>
    </row>
    <row r="124" spans="1:12" x14ac:dyDescent="0.25">
      <c r="A124" s="9"/>
      <c r="C124" s="10" t="str">
        <f>IF(OR(A124="",B124=""),"",A124&amp;" - "&amp;B124)</f>
        <v/>
      </c>
      <c r="H124" s="11"/>
      <c r="I124" s="11"/>
      <c r="J124" s="11"/>
      <c r="L124" s="12"/>
    </row>
    <row r="125" spans="1:12" x14ac:dyDescent="0.25">
      <c r="A125" s="9"/>
      <c r="C125" s="10" t="str">
        <f>IF(OR(A125="",B125=""),"",A125&amp;" - "&amp;B125)</f>
        <v/>
      </c>
      <c r="H125" s="11"/>
      <c r="I125" s="11"/>
      <c r="J125" s="11"/>
      <c r="L125" s="12"/>
    </row>
    <row r="126" spans="1:12" x14ac:dyDescent="0.25">
      <c r="A126" s="9"/>
      <c r="C126" s="10" t="str">
        <f>IF(OR(A126="",B126=""),"",A126&amp;" - "&amp;B126)</f>
        <v/>
      </c>
      <c r="H126" s="11"/>
      <c r="I126" s="11"/>
      <c r="J126" s="11"/>
      <c r="L126" s="12"/>
    </row>
    <row r="127" spans="1:12" x14ac:dyDescent="0.25">
      <c r="A127" s="9"/>
      <c r="C127" s="10" t="str">
        <f>IF(OR(A127="",B127=""),"",A127&amp;" - "&amp;B127)</f>
        <v/>
      </c>
      <c r="H127" s="11"/>
      <c r="I127" s="11"/>
      <c r="J127" s="11"/>
      <c r="L127" s="12"/>
    </row>
    <row r="128" spans="1:12" x14ac:dyDescent="0.25">
      <c r="A128" s="9"/>
      <c r="C128" s="10" t="str">
        <f>IF(OR(A128="",B128=""),"",A128&amp;" - "&amp;B128)</f>
        <v/>
      </c>
      <c r="H128" s="11"/>
      <c r="I128" s="11"/>
      <c r="J128" s="11"/>
      <c r="L128" s="12"/>
    </row>
    <row r="129" spans="1:12" x14ac:dyDescent="0.25">
      <c r="A129" s="9"/>
      <c r="C129" s="10" t="str">
        <f>IF(OR(A129="",B129=""),"",A129&amp;" - "&amp;B129)</f>
        <v/>
      </c>
      <c r="H129" s="11"/>
      <c r="I129" s="11"/>
      <c r="J129" s="11"/>
      <c r="L129" s="12"/>
    </row>
    <row r="130" spans="1:12" x14ac:dyDescent="0.25">
      <c r="A130" s="9"/>
      <c r="C130" s="10" t="str">
        <f>IF(OR(A130="",B130=""),"",A130&amp;" - "&amp;B130)</f>
        <v/>
      </c>
      <c r="H130" s="11"/>
      <c r="I130" s="11"/>
      <c r="J130" s="11"/>
      <c r="L130" s="12"/>
    </row>
    <row r="131" spans="1:12" x14ac:dyDescent="0.25">
      <c r="A131" s="9"/>
      <c r="C131" s="10" t="str">
        <f>IF(OR(A131="",B131=""),"",A131&amp;" - "&amp;B131)</f>
        <v/>
      </c>
      <c r="H131" s="11"/>
      <c r="I131" s="11"/>
      <c r="J131" s="11"/>
      <c r="L131" s="12"/>
    </row>
    <row r="132" spans="1:12" x14ac:dyDescent="0.25">
      <c r="A132" s="9"/>
      <c r="C132" s="10" t="str">
        <f>IF(OR(A132="",B132=""),"",A132&amp;" - "&amp;B132)</f>
        <v/>
      </c>
      <c r="H132" s="11"/>
      <c r="I132" s="11"/>
      <c r="J132" s="11"/>
      <c r="L132" s="12"/>
    </row>
    <row r="133" spans="1:12" x14ac:dyDescent="0.25">
      <c r="A133" s="9"/>
      <c r="C133" s="10" t="str">
        <f>IF(OR(A133="",B133=""),"",A133&amp;" - "&amp;B133)</f>
        <v/>
      </c>
      <c r="H133" s="11"/>
      <c r="I133" s="11"/>
      <c r="J133" s="11"/>
      <c r="L133" s="12"/>
    </row>
    <row r="134" spans="1:12" x14ac:dyDescent="0.25">
      <c r="A134" s="9"/>
      <c r="C134" s="10" t="str">
        <f>IF(OR(A134="",B134=""),"",A134&amp;" - "&amp;B134)</f>
        <v/>
      </c>
      <c r="H134" s="11"/>
      <c r="I134" s="11"/>
      <c r="J134" s="11"/>
      <c r="L134" s="12"/>
    </row>
    <row r="135" spans="1:12" x14ac:dyDescent="0.25">
      <c r="A135" s="9"/>
      <c r="C135" s="10" t="str">
        <f>IF(OR(A135="",B135=""),"",A135&amp;" - "&amp;B135)</f>
        <v/>
      </c>
      <c r="H135" s="11"/>
      <c r="I135" s="11"/>
      <c r="J135" s="11"/>
      <c r="L135" s="12"/>
    </row>
    <row r="136" spans="1:12" x14ac:dyDescent="0.25">
      <c r="A136" s="9"/>
      <c r="C136" s="10" t="str">
        <f>IF(OR(A136="",B136=""),"",A136&amp;" - "&amp;B136)</f>
        <v/>
      </c>
      <c r="H136" s="11"/>
      <c r="I136" s="11"/>
      <c r="J136" s="11"/>
      <c r="L136" s="12"/>
    </row>
    <row r="137" spans="1:12" x14ac:dyDescent="0.25">
      <c r="A137" s="9"/>
      <c r="C137" s="10" t="str">
        <f>IF(OR(A137="",B137=""),"",A137&amp;" - "&amp;B137)</f>
        <v/>
      </c>
      <c r="H137" s="11"/>
      <c r="I137" s="11"/>
      <c r="J137" s="11"/>
      <c r="L137" s="12"/>
    </row>
    <row r="138" spans="1:12" x14ac:dyDescent="0.25">
      <c r="A138" s="9"/>
      <c r="C138" s="10" t="str">
        <f>IF(OR(A138="",B138=""),"",A138&amp;" - "&amp;B138)</f>
        <v/>
      </c>
      <c r="H138" s="11"/>
      <c r="I138" s="11"/>
      <c r="J138" s="11"/>
      <c r="L138" s="12"/>
    </row>
    <row r="139" spans="1:12" x14ac:dyDescent="0.25">
      <c r="A139" s="9"/>
      <c r="C139" s="10" t="str">
        <f>IF(OR(A139="",B139=""),"",A139&amp;" - "&amp;B139)</f>
        <v/>
      </c>
      <c r="H139" s="11"/>
      <c r="I139" s="11"/>
      <c r="J139" s="11"/>
      <c r="L139" s="12"/>
    </row>
    <row r="140" spans="1:12" x14ac:dyDescent="0.25">
      <c r="A140" s="9"/>
      <c r="C140" s="10" t="str">
        <f>IF(OR(A140="",B140=""),"",A140&amp;" - "&amp;B140)</f>
        <v/>
      </c>
      <c r="H140" s="11"/>
      <c r="I140" s="11"/>
      <c r="J140" s="11"/>
      <c r="L140" s="12"/>
    </row>
    <row r="141" spans="1:12" x14ac:dyDescent="0.25">
      <c r="A141" s="9"/>
      <c r="C141" s="10" t="str">
        <f>IF(OR(A141="",B141=""),"",A141&amp;" - "&amp;B141)</f>
        <v/>
      </c>
      <c r="H141" s="11"/>
      <c r="I141" s="11"/>
      <c r="J141" s="11"/>
      <c r="L141" s="12"/>
    </row>
    <row r="142" spans="1:12" x14ac:dyDescent="0.25">
      <c r="A142" s="9"/>
      <c r="C142" s="10" t="str">
        <f>IF(OR(A142="",B142=""),"",A142&amp;" - "&amp;B142)</f>
        <v/>
      </c>
      <c r="H142" s="11"/>
      <c r="I142" s="11"/>
      <c r="J142" s="11"/>
      <c r="L142" s="12"/>
    </row>
    <row r="143" spans="1:12" x14ac:dyDescent="0.25">
      <c r="A143" s="9"/>
      <c r="C143" s="10" t="str">
        <f>IF(OR(A143="",B143=""),"",A143&amp;" - "&amp;B143)</f>
        <v/>
      </c>
      <c r="H143" s="11"/>
      <c r="I143" s="11"/>
      <c r="J143" s="11"/>
      <c r="L143" s="12"/>
    </row>
    <row r="144" spans="1:12" x14ac:dyDescent="0.25">
      <c r="A144" s="9"/>
      <c r="C144" s="10" t="str">
        <f>IF(OR(A144="",B144=""),"",A144&amp;" - "&amp;B144)</f>
        <v/>
      </c>
      <c r="H144" s="11"/>
      <c r="I144" s="11"/>
      <c r="J144" s="11"/>
      <c r="L144" s="12"/>
    </row>
    <row r="145" spans="1:12" x14ac:dyDescent="0.25">
      <c r="A145" s="9"/>
      <c r="C145" s="10" t="str">
        <f>IF(OR(A145="",B145=""),"",A145&amp;" - "&amp;B145)</f>
        <v/>
      </c>
      <c r="H145" s="11"/>
      <c r="I145" s="11"/>
      <c r="J145" s="11"/>
      <c r="L145" s="12"/>
    </row>
    <row r="146" spans="1:12" x14ac:dyDescent="0.25">
      <c r="A146" s="9"/>
      <c r="C146" s="10" t="str">
        <f>IF(OR(A146="",B146=""),"",A146&amp;" - "&amp;B146)</f>
        <v/>
      </c>
      <c r="H146" s="11"/>
      <c r="I146" s="11"/>
      <c r="J146" s="11"/>
      <c r="L146" s="12"/>
    </row>
    <row r="147" spans="1:12" x14ac:dyDescent="0.25">
      <c r="A147" s="9"/>
      <c r="C147" s="10" t="str">
        <f>IF(OR(A147="",B147=""),"",A147&amp;" - "&amp;B147)</f>
        <v/>
      </c>
      <c r="H147" s="11"/>
      <c r="I147" s="11"/>
      <c r="J147" s="11"/>
      <c r="L147" s="12"/>
    </row>
    <row r="148" spans="1:12" x14ac:dyDescent="0.25">
      <c r="A148" s="9"/>
      <c r="C148" s="10" t="str">
        <f>IF(OR(A148="",B148=""),"",A148&amp;" - "&amp;B148)</f>
        <v/>
      </c>
      <c r="H148" s="11"/>
      <c r="I148" s="11"/>
      <c r="J148" s="11"/>
      <c r="L148" s="12"/>
    </row>
    <row r="149" spans="1:12" x14ac:dyDescent="0.25">
      <c r="A149" s="9"/>
      <c r="C149" s="10" t="str">
        <f>IF(OR(A149="",B149=""),"",A149&amp;" - "&amp;B149)</f>
        <v/>
      </c>
      <c r="H149" s="11"/>
      <c r="I149" s="11"/>
      <c r="J149" s="11"/>
      <c r="L149" s="12"/>
    </row>
    <row r="150" spans="1:12" x14ac:dyDescent="0.25">
      <c r="A150" s="9"/>
      <c r="C150" s="10" t="str">
        <f>IF(OR(A150="",B150=""),"",A150&amp;" - "&amp;B150)</f>
        <v/>
      </c>
      <c r="H150" s="11"/>
      <c r="I150" s="11"/>
      <c r="J150" s="11"/>
      <c r="L150" s="12"/>
    </row>
    <row r="151" spans="1:12" x14ac:dyDescent="0.25">
      <c r="A151" s="9"/>
      <c r="C151" s="10" t="str">
        <f>IF(OR(A151="",B151=""),"",A151&amp;" - "&amp;B151)</f>
        <v/>
      </c>
      <c r="H151" s="11"/>
      <c r="I151" s="11"/>
      <c r="J151" s="11"/>
      <c r="L151" s="12"/>
    </row>
    <row r="152" spans="1:12" x14ac:dyDescent="0.25">
      <c r="A152" s="9"/>
      <c r="C152" s="10" t="str">
        <f>IF(OR(A152="",B152=""),"",A152&amp;" - "&amp;B152)</f>
        <v/>
      </c>
      <c r="H152" s="11"/>
      <c r="I152" s="11"/>
      <c r="J152" s="11"/>
      <c r="L152" s="12"/>
    </row>
    <row r="153" spans="1:12" x14ac:dyDescent="0.25">
      <c r="A153" s="9"/>
      <c r="C153" s="10" t="str">
        <f>IF(OR(A153="",B153=""),"",A153&amp;" - "&amp;B153)</f>
        <v/>
      </c>
      <c r="H153" s="11"/>
      <c r="I153" s="11"/>
      <c r="J153" s="11"/>
      <c r="L153" s="12"/>
    </row>
    <row r="154" spans="1:12" x14ac:dyDescent="0.25">
      <c r="A154" s="9"/>
      <c r="C154" s="10" t="str">
        <f>IF(OR(A154="",B154=""),"",A154&amp;" - "&amp;B154)</f>
        <v/>
      </c>
      <c r="H154" s="11"/>
      <c r="I154" s="11"/>
      <c r="J154" s="11"/>
      <c r="L154" s="12"/>
    </row>
    <row r="155" spans="1:12" x14ac:dyDescent="0.25">
      <c r="A155" s="9"/>
      <c r="C155" s="10" t="str">
        <f>IF(OR(A155="",B155=""),"",A155&amp;" - "&amp;B155)</f>
        <v/>
      </c>
      <c r="H155" s="11"/>
      <c r="I155" s="11"/>
      <c r="J155" s="11"/>
      <c r="L155" s="12"/>
    </row>
    <row r="156" spans="1:12" x14ac:dyDescent="0.25">
      <c r="A156" s="9"/>
      <c r="C156" s="10" t="str">
        <f>IF(OR(A156="",B156=""),"",A156&amp;" - "&amp;B156)</f>
        <v/>
      </c>
      <c r="H156" s="11"/>
      <c r="I156" s="11"/>
      <c r="J156" s="11"/>
      <c r="L156" s="12"/>
    </row>
    <row r="157" spans="1:12" x14ac:dyDescent="0.25">
      <c r="A157" s="9"/>
      <c r="C157" s="10" t="str">
        <f>IF(OR(A157="",B157=""),"",A157&amp;" - "&amp;B157)</f>
        <v/>
      </c>
      <c r="H157" s="11"/>
      <c r="I157" s="11"/>
      <c r="J157" s="11"/>
      <c r="L157" s="12"/>
    </row>
    <row r="158" spans="1:12" x14ac:dyDescent="0.25">
      <c r="A158" s="9"/>
      <c r="C158" s="10" t="str">
        <f>IF(OR(A158="",B158=""),"",A158&amp;" - "&amp;B158)</f>
        <v/>
      </c>
      <c r="H158" s="11"/>
      <c r="I158" s="11"/>
      <c r="J158" s="11"/>
      <c r="L158" s="12"/>
    </row>
    <row r="159" spans="1:12" x14ac:dyDescent="0.25">
      <c r="A159" s="9"/>
      <c r="C159" s="10" t="str">
        <f>IF(OR(A159="",B159=""),"",A159&amp;" - "&amp;B159)</f>
        <v/>
      </c>
      <c r="H159" s="11"/>
      <c r="I159" s="11"/>
      <c r="J159" s="11"/>
      <c r="L159" s="12"/>
    </row>
    <row r="160" spans="1:12" x14ac:dyDescent="0.25">
      <c r="A160" s="9"/>
      <c r="C160" s="10" t="str">
        <f>IF(OR(A160="",B160=""),"",A160&amp;" - "&amp;B160)</f>
        <v/>
      </c>
      <c r="H160" s="11"/>
      <c r="I160" s="11"/>
      <c r="J160" s="11"/>
      <c r="L160" s="12"/>
    </row>
    <row r="161" spans="1:12" x14ac:dyDescent="0.25">
      <c r="A161" s="9"/>
      <c r="C161" s="10" t="str">
        <f>IF(OR(A161="",B161=""),"",A161&amp;" - "&amp;B161)</f>
        <v/>
      </c>
      <c r="H161" s="11"/>
      <c r="I161" s="11"/>
      <c r="J161" s="11"/>
      <c r="L161" s="12"/>
    </row>
    <row r="162" spans="1:12" x14ac:dyDescent="0.25">
      <c r="A162" s="9"/>
      <c r="C162" s="10" t="str">
        <f>IF(OR(A162="",B162=""),"",A162&amp;" - "&amp;B162)</f>
        <v/>
      </c>
      <c r="H162" s="11"/>
      <c r="I162" s="11"/>
      <c r="J162" s="11"/>
      <c r="L162" s="12"/>
    </row>
    <row r="163" spans="1:12" x14ac:dyDescent="0.25">
      <c r="A163" s="9"/>
      <c r="C163" s="10" t="str">
        <f>IF(OR(A163="",B163=""),"",A163&amp;" - "&amp;B163)</f>
        <v/>
      </c>
      <c r="H163" s="11"/>
      <c r="I163" s="11"/>
      <c r="J163" s="11"/>
      <c r="L163" s="12"/>
    </row>
    <row r="164" spans="1:12" x14ac:dyDescent="0.25">
      <c r="A164" s="9"/>
      <c r="C164" s="10" t="str">
        <f>IF(OR(A164="",B164=""),"",A164&amp;" - "&amp;B164)</f>
        <v/>
      </c>
      <c r="H164" s="11"/>
      <c r="I164" s="11"/>
      <c r="J164" s="11"/>
      <c r="L164" s="12"/>
    </row>
    <row r="165" spans="1:12" x14ac:dyDescent="0.25">
      <c r="A165" s="9"/>
      <c r="C165" s="10" t="str">
        <f>IF(OR(A165="",B165=""),"",A165&amp;" - "&amp;B165)</f>
        <v/>
      </c>
      <c r="H165" s="11"/>
      <c r="I165" s="11"/>
      <c r="J165" s="11"/>
      <c r="L165" s="12"/>
    </row>
    <row r="166" spans="1:12" x14ac:dyDescent="0.25">
      <c r="A166" s="9"/>
      <c r="C166" s="10" t="str">
        <f>IF(OR(A166="",B166=""),"",A166&amp;" - "&amp;B166)</f>
        <v/>
      </c>
      <c r="H166" s="11"/>
      <c r="I166" s="11"/>
      <c r="J166" s="11"/>
      <c r="L166" s="12"/>
    </row>
    <row r="167" spans="1:12" x14ac:dyDescent="0.25">
      <c r="A167" s="9"/>
      <c r="C167" s="10" t="str">
        <f>IF(OR(A167="",B167=""),"",A167&amp;" - "&amp;B167)</f>
        <v/>
      </c>
      <c r="H167" s="11"/>
      <c r="I167" s="11"/>
      <c r="J167" s="11"/>
      <c r="L167" s="12"/>
    </row>
    <row r="168" spans="1:12" x14ac:dyDescent="0.25">
      <c r="A168" s="9"/>
      <c r="C168" s="10" t="str">
        <f>IF(OR(A168="",B168=""),"",A168&amp;" - "&amp;B168)</f>
        <v/>
      </c>
      <c r="H168" s="11"/>
      <c r="I168" s="11"/>
      <c r="J168" s="11"/>
      <c r="L168" s="12"/>
    </row>
    <row r="169" spans="1:12" x14ac:dyDescent="0.25">
      <c r="A169" s="9"/>
      <c r="C169" s="10" t="str">
        <f>IF(OR(A169="",B169=""),"",A169&amp;" - "&amp;B169)</f>
        <v/>
      </c>
      <c r="H169" s="11"/>
      <c r="I169" s="11"/>
      <c r="J169" s="11"/>
      <c r="L169" s="12"/>
    </row>
    <row r="170" spans="1:12" x14ac:dyDescent="0.25">
      <c r="A170" s="9"/>
      <c r="C170" s="10" t="str">
        <f>IF(OR(A170="",B170=""),"",A170&amp;" - "&amp;B170)</f>
        <v/>
      </c>
      <c r="H170" s="11"/>
      <c r="I170" s="11"/>
      <c r="J170" s="11"/>
      <c r="L170" s="12"/>
    </row>
    <row r="171" spans="1:12" x14ac:dyDescent="0.25">
      <c r="A171" s="9"/>
      <c r="C171" s="10" t="str">
        <f>IF(OR(A171="",B171=""),"",A171&amp;" - "&amp;B171)</f>
        <v/>
      </c>
      <c r="H171" s="11"/>
      <c r="I171" s="11"/>
      <c r="J171" s="11"/>
      <c r="L171" s="12"/>
    </row>
    <row r="172" spans="1:12" x14ac:dyDescent="0.25">
      <c r="A172" s="9"/>
      <c r="C172" s="10" t="str">
        <f>IF(OR(A172="",B172=""),"",A172&amp;" - "&amp;B172)</f>
        <v/>
      </c>
      <c r="H172" s="11"/>
      <c r="I172" s="11"/>
      <c r="J172" s="11"/>
      <c r="L172" s="12"/>
    </row>
    <row r="173" spans="1:12" x14ac:dyDescent="0.25">
      <c r="A173" s="9"/>
      <c r="C173" s="10" t="str">
        <f>IF(OR(A173="",B173=""),"",A173&amp;" - "&amp;B173)</f>
        <v/>
      </c>
      <c r="H173" s="11"/>
      <c r="I173" s="11"/>
      <c r="J173" s="11"/>
      <c r="L173" s="12"/>
    </row>
    <row r="174" spans="1:12" x14ac:dyDescent="0.25">
      <c r="A174" s="9"/>
      <c r="C174" s="10" t="str">
        <f>IF(OR(A174="",B174=""),"",A174&amp;" - "&amp;B174)</f>
        <v/>
      </c>
      <c r="H174" s="11"/>
      <c r="I174" s="11"/>
      <c r="J174" s="11"/>
      <c r="L174" s="12"/>
    </row>
    <row r="175" spans="1:12" x14ac:dyDescent="0.25">
      <c r="A175" s="9"/>
      <c r="C175" s="10" t="str">
        <f>IF(OR(A175="",B175=""),"",A175&amp;" - "&amp;B175)</f>
        <v/>
      </c>
      <c r="H175" s="11"/>
      <c r="I175" s="11"/>
      <c r="J175" s="11"/>
      <c r="L175" s="12"/>
    </row>
    <row r="176" spans="1:12" x14ac:dyDescent="0.25">
      <c r="A176" s="9"/>
      <c r="C176" s="10" t="str">
        <f>IF(OR(A176="",B176=""),"",A176&amp;" - "&amp;B176)</f>
        <v/>
      </c>
      <c r="H176" s="11"/>
      <c r="I176" s="11"/>
      <c r="J176" s="11"/>
      <c r="L176" s="12"/>
    </row>
    <row r="177" spans="1:12" x14ac:dyDescent="0.25">
      <c r="A177" s="9"/>
      <c r="C177" s="10" t="str">
        <f>IF(OR(A177="",B177=""),"",A177&amp;" - "&amp;B177)</f>
        <v/>
      </c>
      <c r="H177" s="11"/>
      <c r="I177" s="11"/>
      <c r="J177" s="11"/>
      <c r="L177" s="12"/>
    </row>
    <row r="178" spans="1:12" x14ac:dyDescent="0.25">
      <c r="A178" s="9"/>
      <c r="C178" s="10" t="str">
        <f>IF(OR(A178="",B178=""),"",A178&amp;" - "&amp;B178)</f>
        <v/>
      </c>
      <c r="H178" s="11"/>
      <c r="I178" s="11"/>
      <c r="J178" s="11"/>
      <c r="L178" s="12"/>
    </row>
    <row r="179" spans="1:12" x14ac:dyDescent="0.25">
      <c r="A179" s="9"/>
      <c r="C179" s="10" t="str">
        <f>IF(OR(A179="",B179=""),"",A179&amp;" - "&amp;B179)</f>
        <v/>
      </c>
      <c r="H179" s="11"/>
      <c r="I179" s="11"/>
      <c r="J179" s="11"/>
      <c r="L179" s="12"/>
    </row>
    <row r="180" spans="1:12" x14ac:dyDescent="0.25">
      <c r="A180" s="9"/>
      <c r="C180" s="10" t="str">
        <f>IF(OR(A180="",B180=""),"",A180&amp;" - "&amp;B180)</f>
        <v/>
      </c>
      <c r="H180" s="11"/>
      <c r="I180" s="11"/>
      <c r="J180" s="11"/>
      <c r="L180" s="12"/>
    </row>
    <row r="181" spans="1:12" x14ac:dyDescent="0.25">
      <c r="A181" s="9"/>
      <c r="C181" s="10" t="str">
        <f>IF(OR(A181="",B181=""),"",A181&amp;" - "&amp;B181)</f>
        <v/>
      </c>
      <c r="H181" s="11"/>
      <c r="I181" s="11"/>
      <c r="J181" s="11"/>
      <c r="L181" s="12"/>
    </row>
    <row r="182" spans="1:12" x14ac:dyDescent="0.25">
      <c r="A182" s="9"/>
      <c r="C182" s="10" t="str">
        <f>IF(OR(A182="",B182=""),"",A182&amp;" - "&amp;B182)</f>
        <v/>
      </c>
      <c r="H182" s="11"/>
      <c r="I182" s="11"/>
      <c r="J182" s="11"/>
      <c r="L182" s="12"/>
    </row>
    <row r="183" spans="1:12" x14ac:dyDescent="0.25">
      <c r="A183" s="9"/>
      <c r="C183" s="10" t="str">
        <f>IF(OR(A183="",B183=""),"",A183&amp;" - "&amp;B183)</f>
        <v/>
      </c>
      <c r="H183" s="11"/>
      <c r="I183" s="11"/>
      <c r="J183" s="11"/>
      <c r="L183" s="12"/>
    </row>
    <row r="184" spans="1:12" x14ac:dyDescent="0.25">
      <c r="A184" s="9"/>
      <c r="C184" s="10" t="str">
        <f>IF(OR(A184="",B184=""),"",A184&amp;" - "&amp;B184)</f>
        <v/>
      </c>
      <c r="H184" s="11"/>
      <c r="I184" s="11"/>
      <c r="J184" s="11"/>
      <c r="L184" s="12"/>
    </row>
    <row r="185" spans="1:12" x14ac:dyDescent="0.25">
      <c r="A185" s="9"/>
      <c r="C185" s="10" t="str">
        <f>IF(OR(A185="",B185=""),"",A185&amp;" - "&amp;B185)</f>
        <v/>
      </c>
      <c r="H185" s="11"/>
      <c r="I185" s="11"/>
      <c r="J185" s="11"/>
      <c r="L185" s="12"/>
    </row>
    <row r="186" spans="1:12" x14ac:dyDescent="0.25">
      <c r="A186" s="9"/>
      <c r="C186" s="10" t="str">
        <f>IF(OR(A186="",B186=""),"",A186&amp;" - "&amp;B186)</f>
        <v/>
      </c>
      <c r="H186" s="11"/>
      <c r="I186" s="11"/>
      <c r="J186" s="11"/>
      <c r="L186" s="12"/>
    </row>
    <row r="187" spans="1:12" x14ac:dyDescent="0.25">
      <c r="A187" s="9"/>
      <c r="C187" s="10" t="str">
        <f>IF(OR(A187="",B187=""),"",A187&amp;" - "&amp;B187)</f>
        <v/>
      </c>
      <c r="H187" s="11"/>
      <c r="I187" s="11"/>
      <c r="J187" s="11"/>
      <c r="L187" s="12"/>
    </row>
    <row r="188" spans="1:12" x14ac:dyDescent="0.25">
      <c r="A188" s="9"/>
      <c r="C188" s="10" t="str">
        <f>IF(OR(A188="",B188=""),"",A188&amp;" - "&amp;B188)</f>
        <v/>
      </c>
      <c r="H188" s="11"/>
      <c r="I188" s="11"/>
      <c r="J188" s="11"/>
      <c r="L188" s="12"/>
    </row>
    <row r="189" spans="1:12" x14ac:dyDescent="0.25">
      <c r="A189" s="9"/>
      <c r="C189" s="10" t="str">
        <f>IF(OR(A189="",B189=""),"",A189&amp;" - "&amp;B189)</f>
        <v/>
      </c>
      <c r="H189" s="11"/>
      <c r="I189" s="11"/>
      <c r="J189" s="11"/>
      <c r="L189" s="12"/>
    </row>
    <row r="190" spans="1:12" x14ac:dyDescent="0.25">
      <c r="A190" s="9"/>
      <c r="C190" s="10" t="str">
        <f>IF(OR(A190="",B190=""),"",A190&amp;" - "&amp;B190)</f>
        <v/>
      </c>
      <c r="H190" s="11"/>
      <c r="I190" s="11"/>
      <c r="J190" s="11"/>
      <c r="L190" s="12"/>
    </row>
    <row r="191" spans="1:12" x14ac:dyDescent="0.25">
      <c r="A191" s="9"/>
      <c r="C191" s="10" t="str">
        <f>IF(OR(A191="",B191=""),"",A191&amp;" - "&amp;B191)</f>
        <v/>
      </c>
      <c r="H191" s="11"/>
      <c r="I191" s="11"/>
      <c r="J191" s="11"/>
      <c r="L191" s="12"/>
    </row>
    <row r="192" spans="1:12" x14ac:dyDescent="0.25">
      <c r="A192" s="9"/>
      <c r="C192" s="10" t="str">
        <f>IF(OR(A192="",B192=""),"",A192&amp;" - "&amp;B192)</f>
        <v/>
      </c>
      <c r="H192" s="11"/>
      <c r="I192" s="11"/>
      <c r="J192" s="11"/>
      <c r="L192" s="12"/>
    </row>
    <row r="193" spans="1:12" x14ac:dyDescent="0.25">
      <c r="A193" s="9"/>
      <c r="C193" s="10" t="str">
        <f>IF(OR(A193="",B193=""),"",A193&amp;" - "&amp;B193)</f>
        <v/>
      </c>
      <c r="H193" s="11"/>
      <c r="I193" s="11"/>
      <c r="J193" s="11"/>
      <c r="L193" s="12"/>
    </row>
    <row r="194" spans="1:12" x14ac:dyDescent="0.25">
      <c r="A194" s="9"/>
      <c r="C194" s="10" t="str">
        <f>IF(OR(A194="",B194=""),"",A194&amp;" - "&amp;B194)</f>
        <v/>
      </c>
      <c r="H194" s="11"/>
      <c r="I194" s="11"/>
      <c r="J194" s="11"/>
      <c r="L194" s="12"/>
    </row>
    <row r="195" spans="1:12" x14ac:dyDescent="0.25">
      <c r="A195" s="9"/>
      <c r="C195" s="10" t="str">
        <f>IF(OR(A195="",B195=""),"",A195&amp;" - "&amp;B195)</f>
        <v/>
      </c>
      <c r="H195" s="11"/>
      <c r="I195" s="11"/>
      <c r="J195" s="11"/>
      <c r="L195" s="12"/>
    </row>
    <row r="196" spans="1:12" x14ac:dyDescent="0.25">
      <c r="A196" s="9"/>
      <c r="C196" s="10" t="str">
        <f>IF(OR(A196="",B196=""),"",A196&amp;" - "&amp;B196)</f>
        <v/>
      </c>
      <c r="H196" s="11"/>
      <c r="I196" s="11"/>
      <c r="J196" s="11"/>
      <c r="L196" s="12"/>
    </row>
    <row r="197" spans="1:12" x14ac:dyDescent="0.25">
      <c r="A197" s="9"/>
      <c r="C197" s="10" t="str">
        <f>IF(OR(A197="",B197=""),"",A197&amp;" - "&amp;B197)</f>
        <v/>
      </c>
      <c r="H197" s="11"/>
      <c r="I197" s="11"/>
      <c r="J197" s="11"/>
      <c r="L197" s="12"/>
    </row>
    <row r="198" spans="1:12" x14ac:dyDescent="0.25">
      <c r="A198" s="9"/>
      <c r="C198" s="10" t="str">
        <f>IF(OR(A198="",B198=""),"",A198&amp;" - "&amp;B198)</f>
        <v/>
      </c>
      <c r="H198" s="11"/>
      <c r="I198" s="11"/>
      <c r="J198" s="11"/>
      <c r="L198" s="12"/>
    </row>
    <row r="199" spans="1:12" x14ac:dyDescent="0.25">
      <c r="A199" s="9"/>
      <c r="C199" s="10" t="str">
        <f>IF(OR(A199="",B199=""),"",A199&amp;" - "&amp;B199)</f>
        <v/>
      </c>
      <c r="H199" s="11"/>
      <c r="I199" s="11"/>
      <c r="J199" s="11"/>
      <c r="L199" s="12"/>
    </row>
    <row r="200" spans="1:12" x14ac:dyDescent="0.25">
      <c r="A200" s="9"/>
      <c r="C200" s="10" t="str">
        <f>IF(OR(A200="",B200=""),"",A200&amp;" - "&amp;B200)</f>
        <v/>
      </c>
      <c r="H200" s="11"/>
      <c r="I200" s="11"/>
      <c r="J200" s="11"/>
      <c r="L200" s="12"/>
    </row>
    <row r="201" spans="1:12" x14ac:dyDescent="0.25">
      <c r="A201" s="9"/>
      <c r="C201" s="10" t="str">
        <f>IF(OR(A201="",B201=""),"",A201&amp;" - "&amp;B201)</f>
        <v/>
      </c>
      <c r="H201" s="11"/>
      <c r="I201" s="11"/>
      <c r="J201" s="11"/>
      <c r="L201" s="12"/>
    </row>
    <row r="202" spans="1:12" x14ac:dyDescent="0.25">
      <c r="A202" s="9"/>
      <c r="C202" s="10" t="str">
        <f>IF(OR(A202="",B202=""),"",A202&amp;" - "&amp;B202)</f>
        <v/>
      </c>
      <c r="H202" s="11"/>
      <c r="I202" s="11"/>
      <c r="J202" s="11"/>
      <c r="L202" s="12"/>
    </row>
    <row r="203" spans="1:12" x14ac:dyDescent="0.25">
      <c r="A203" s="9"/>
      <c r="C203" s="10" t="str">
        <f>IF(OR(A203="",B203=""),"",A203&amp;" - "&amp;B203)</f>
        <v/>
      </c>
      <c r="H203" s="11"/>
      <c r="I203" s="11"/>
      <c r="J203" s="11"/>
      <c r="L203" s="12"/>
    </row>
    <row r="204" spans="1:12" x14ac:dyDescent="0.25">
      <c r="A204" s="9"/>
      <c r="C204" s="10" t="str">
        <f>IF(OR(A204="",B204=""),"",A204&amp;" - "&amp;B204)</f>
        <v/>
      </c>
      <c r="H204" s="11"/>
      <c r="I204" s="11"/>
      <c r="J204" s="11"/>
      <c r="L204" s="12"/>
    </row>
    <row r="205" spans="1:12" x14ac:dyDescent="0.25">
      <c r="A205" s="9"/>
      <c r="C205" s="10" t="str">
        <f>IF(OR(A205="",B205=""),"",A205&amp;" - "&amp;B205)</f>
        <v/>
      </c>
      <c r="H205" s="11"/>
      <c r="I205" s="11"/>
      <c r="J205" s="11"/>
      <c r="L205" s="12"/>
    </row>
    <row r="206" spans="1:12" x14ac:dyDescent="0.25">
      <c r="A206" s="9"/>
      <c r="C206" s="10" t="str">
        <f>IF(OR(A206="",B206=""),"",A206&amp;" - "&amp;B206)</f>
        <v/>
      </c>
      <c r="H206" s="11"/>
      <c r="I206" s="11"/>
      <c r="J206" s="11"/>
      <c r="L206" s="12"/>
    </row>
    <row r="207" spans="1:12" x14ac:dyDescent="0.25">
      <c r="A207" s="9"/>
      <c r="C207" s="10" t="str">
        <f>IF(OR(A207="",B207=""),"",A207&amp;" - "&amp;B207)</f>
        <v/>
      </c>
      <c r="H207" s="11"/>
      <c r="I207" s="11"/>
      <c r="J207" s="11"/>
      <c r="L207" s="12"/>
    </row>
    <row r="208" spans="1:12" x14ac:dyDescent="0.25">
      <c r="A208" s="9"/>
      <c r="C208" s="10" t="str">
        <f>IF(OR(A208="",B208=""),"",A208&amp;" - "&amp;B208)</f>
        <v/>
      </c>
      <c r="H208" s="11"/>
      <c r="I208" s="11"/>
      <c r="J208" s="11"/>
      <c r="L208" s="12"/>
    </row>
    <row r="209" spans="1:12" x14ac:dyDescent="0.25">
      <c r="A209" s="9"/>
      <c r="C209" s="10" t="str">
        <f>IF(OR(A209="",B209=""),"",A209&amp;" - "&amp;B209)</f>
        <v/>
      </c>
      <c r="H209" s="11"/>
      <c r="I209" s="11"/>
      <c r="J209" s="11"/>
      <c r="L209" s="12"/>
    </row>
    <row r="210" spans="1:12" x14ac:dyDescent="0.25">
      <c r="A210" s="9"/>
      <c r="C210" s="10" t="str">
        <f>IF(OR(A210="",B210=""),"",A210&amp;" - "&amp;B210)</f>
        <v/>
      </c>
      <c r="H210" s="11"/>
      <c r="I210" s="11"/>
      <c r="J210" s="11"/>
      <c r="L210" s="12"/>
    </row>
    <row r="211" spans="1:12" x14ac:dyDescent="0.25">
      <c r="A211" s="9"/>
      <c r="C211" s="10" t="str">
        <f>IF(OR(A211="",B211=""),"",A211&amp;" - "&amp;B211)</f>
        <v/>
      </c>
      <c r="H211" s="11"/>
      <c r="I211" s="11"/>
      <c r="J211" s="11"/>
      <c r="L211" s="12"/>
    </row>
    <row r="212" spans="1:12" x14ac:dyDescent="0.25">
      <c r="A212" s="9"/>
      <c r="C212" s="10" t="str">
        <f>IF(OR(A212="",B212=""),"",A212&amp;" - "&amp;B212)</f>
        <v/>
      </c>
      <c r="H212" s="11"/>
      <c r="I212" s="11"/>
      <c r="J212" s="11"/>
      <c r="L212" s="12"/>
    </row>
    <row r="213" spans="1:12" x14ac:dyDescent="0.25">
      <c r="A213" s="9"/>
      <c r="C213" s="10" t="str">
        <f>IF(OR(A213="",B213=""),"",A213&amp;" - "&amp;B213)</f>
        <v/>
      </c>
      <c r="H213" s="11"/>
      <c r="I213" s="11"/>
      <c r="J213" s="11"/>
      <c r="L213" s="12"/>
    </row>
    <row r="214" spans="1:12" x14ac:dyDescent="0.25">
      <c r="A214" s="9"/>
      <c r="C214" s="10" t="str">
        <f>IF(OR(A214="",B214=""),"",A214&amp;" - "&amp;B214)</f>
        <v/>
      </c>
      <c r="H214" s="11"/>
      <c r="I214" s="11"/>
      <c r="J214" s="11"/>
      <c r="L214" s="12"/>
    </row>
    <row r="215" spans="1:12" x14ac:dyDescent="0.25">
      <c r="A215" s="9"/>
      <c r="C215" s="10" t="str">
        <f>IF(OR(A215="",B215=""),"",A215&amp;" - "&amp;B215)</f>
        <v/>
      </c>
      <c r="H215" s="11"/>
      <c r="I215" s="11"/>
      <c r="J215" s="11"/>
      <c r="L215" s="12"/>
    </row>
    <row r="216" spans="1:12" x14ac:dyDescent="0.25">
      <c r="A216" s="9"/>
      <c r="C216" s="10" t="str">
        <f>IF(OR(A216="",B216=""),"",A216&amp;" - "&amp;B216)</f>
        <v/>
      </c>
      <c r="H216" s="11"/>
      <c r="I216" s="11"/>
      <c r="J216" s="11"/>
      <c r="L216" s="12"/>
    </row>
    <row r="217" spans="1:12" x14ac:dyDescent="0.25">
      <c r="A217" s="9"/>
      <c r="C217" s="10" t="str">
        <f>IF(OR(A217="",B217=""),"",A217&amp;" - "&amp;B217)</f>
        <v/>
      </c>
      <c r="H217" s="11"/>
      <c r="I217" s="11"/>
      <c r="J217" s="11"/>
      <c r="L217" s="12"/>
    </row>
    <row r="218" spans="1:12" x14ac:dyDescent="0.25">
      <c r="A218" s="9"/>
      <c r="C218" s="10" t="str">
        <f>IF(OR(A218="",B218=""),"",A218&amp;" - "&amp;B218)</f>
        <v/>
      </c>
      <c r="H218" s="11"/>
      <c r="I218" s="11"/>
      <c r="J218" s="11"/>
      <c r="L218" s="12"/>
    </row>
    <row r="219" spans="1:12" x14ac:dyDescent="0.25">
      <c r="A219" s="9"/>
      <c r="C219" s="10" t="str">
        <f>IF(OR(A219="",B219=""),"",A219&amp;" - "&amp;B219)</f>
        <v/>
      </c>
      <c r="H219" s="11"/>
      <c r="I219" s="11"/>
      <c r="J219" s="11"/>
      <c r="L219" s="12"/>
    </row>
    <row r="220" spans="1:12" x14ac:dyDescent="0.25">
      <c r="A220" s="9"/>
      <c r="C220" s="10" t="str">
        <f>IF(OR(A220="",B220=""),"",A220&amp;" - "&amp;B220)</f>
        <v/>
      </c>
      <c r="H220" s="11"/>
      <c r="I220" s="11"/>
      <c r="J220" s="11"/>
      <c r="L220" s="12"/>
    </row>
    <row r="221" spans="1:12" x14ac:dyDescent="0.25">
      <c r="A221" s="9"/>
      <c r="C221" s="10" t="str">
        <f>IF(OR(A221="",B221=""),"",A221&amp;" - "&amp;B221)</f>
        <v/>
      </c>
      <c r="H221" s="11"/>
      <c r="I221" s="11"/>
      <c r="J221" s="11"/>
      <c r="L221" s="12"/>
    </row>
    <row r="222" spans="1:12" x14ac:dyDescent="0.25">
      <c r="A222" s="9"/>
      <c r="C222" s="10" t="str">
        <f>IF(OR(A222="",B222=""),"",A222&amp;" - "&amp;B222)</f>
        <v/>
      </c>
      <c r="H222" s="11"/>
      <c r="I222" s="11"/>
      <c r="J222" s="11"/>
      <c r="L222" s="12"/>
    </row>
    <row r="223" spans="1:12" x14ac:dyDescent="0.25">
      <c r="A223" s="9"/>
      <c r="C223" s="10" t="str">
        <f>IF(OR(A223="",B223=""),"",A223&amp;" - "&amp;B223)</f>
        <v/>
      </c>
      <c r="H223" s="11"/>
      <c r="I223" s="11"/>
      <c r="J223" s="11"/>
      <c r="L223" s="12"/>
    </row>
    <row r="224" spans="1:12" x14ac:dyDescent="0.25">
      <c r="A224" s="9"/>
      <c r="C224" s="10" t="str">
        <f>IF(OR(A224="",B224=""),"",A224&amp;" - "&amp;B224)</f>
        <v/>
      </c>
      <c r="H224" s="11"/>
      <c r="I224" s="11"/>
      <c r="J224" s="11"/>
      <c r="L224" s="12"/>
    </row>
    <row r="225" spans="1:12" x14ac:dyDescent="0.25">
      <c r="A225" s="9"/>
      <c r="C225" s="10" t="str">
        <f>IF(OR(A225="",B225=""),"",A225&amp;" - "&amp;B225)</f>
        <v/>
      </c>
      <c r="H225" s="11"/>
      <c r="I225" s="11"/>
      <c r="J225" s="11"/>
      <c r="L225" s="12"/>
    </row>
    <row r="226" spans="1:12" x14ac:dyDescent="0.25">
      <c r="A226" s="9"/>
      <c r="C226" s="10" t="str">
        <f>IF(OR(A226="",B226=""),"",A226&amp;" - "&amp;B226)</f>
        <v/>
      </c>
      <c r="H226" s="11"/>
      <c r="I226" s="11"/>
      <c r="J226" s="11"/>
      <c r="L226" s="12"/>
    </row>
    <row r="227" spans="1:12" x14ac:dyDescent="0.25">
      <c r="A227" s="9"/>
      <c r="C227" s="10" t="str">
        <f>IF(OR(A227="",B227=""),"",A227&amp;" - "&amp;B227)</f>
        <v/>
      </c>
      <c r="H227" s="11"/>
      <c r="I227" s="11"/>
      <c r="J227" s="11"/>
      <c r="L227" s="12"/>
    </row>
    <row r="228" spans="1:12" x14ac:dyDescent="0.25">
      <c r="A228" s="9"/>
      <c r="C228" s="10" t="str">
        <f>IF(OR(A228="",B228=""),"",A228&amp;" - "&amp;B228)</f>
        <v/>
      </c>
      <c r="H228" s="11"/>
      <c r="I228" s="11"/>
      <c r="J228" s="11"/>
      <c r="L228" s="12"/>
    </row>
    <row r="229" spans="1:12" x14ac:dyDescent="0.25">
      <c r="A229" s="9"/>
      <c r="C229" s="10" t="str">
        <f>IF(OR(A229="",B229=""),"",A229&amp;" - "&amp;B229)</f>
        <v/>
      </c>
      <c r="H229" s="11"/>
      <c r="I229" s="11"/>
      <c r="J229" s="11"/>
      <c r="L229" s="12"/>
    </row>
    <row r="230" spans="1:12" x14ac:dyDescent="0.25">
      <c r="A230" s="9"/>
      <c r="C230" s="10" t="str">
        <f>IF(OR(A230="",B230=""),"",A230&amp;" - "&amp;B230)</f>
        <v/>
      </c>
      <c r="H230" s="11"/>
      <c r="I230" s="11"/>
      <c r="J230" s="11"/>
      <c r="L230" s="12"/>
    </row>
    <row r="231" spans="1:12" x14ac:dyDescent="0.25">
      <c r="A231" s="9"/>
      <c r="C231" s="10" t="str">
        <f>IF(OR(A231="",B231=""),"",A231&amp;" - "&amp;B231)</f>
        <v/>
      </c>
      <c r="H231" s="11"/>
      <c r="I231" s="11"/>
      <c r="J231" s="11"/>
      <c r="L231" s="12"/>
    </row>
    <row r="232" spans="1:12" x14ac:dyDescent="0.25">
      <c r="A232" s="9"/>
      <c r="C232" s="10" t="str">
        <f>IF(OR(A232="",B232=""),"",A232&amp;" - "&amp;B232)</f>
        <v/>
      </c>
      <c r="H232" s="11"/>
      <c r="I232" s="11"/>
      <c r="J232" s="11"/>
      <c r="L232" s="12"/>
    </row>
    <row r="233" spans="1:12" x14ac:dyDescent="0.25">
      <c r="A233" s="9"/>
      <c r="C233" s="10" t="str">
        <f>IF(OR(A233="",B233=""),"",A233&amp;" - "&amp;B233)</f>
        <v/>
      </c>
      <c r="H233" s="11"/>
      <c r="I233" s="11"/>
      <c r="J233" s="11"/>
      <c r="L233" s="12"/>
    </row>
    <row r="234" spans="1:12" x14ac:dyDescent="0.25">
      <c r="A234" s="9"/>
      <c r="C234" s="10" t="str">
        <f>IF(OR(A234="",B234=""),"",A234&amp;" - "&amp;B234)</f>
        <v/>
      </c>
      <c r="H234" s="11"/>
      <c r="I234" s="11"/>
      <c r="J234" s="11"/>
      <c r="L234" s="12"/>
    </row>
    <row r="235" spans="1:12" x14ac:dyDescent="0.25">
      <c r="A235" s="9"/>
      <c r="C235" s="10" t="str">
        <f>IF(OR(A235="",B235=""),"",A235&amp;" - "&amp;B235)</f>
        <v/>
      </c>
      <c r="H235" s="11"/>
      <c r="I235" s="11"/>
      <c r="J235" s="11"/>
      <c r="L235" s="12"/>
    </row>
    <row r="236" spans="1:12" x14ac:dyDescent="0.25">
      <c r="A236" s="9"/>
      <c r="C236" s="10" t="str">
        <f>IF(OR(A236="",B236=""),"",A236&amp;" - "&amp;B236)</f>
        <v/>
      </c>
      <c r="H236" s="11"/>
      <c r="I236" s="11"/>
      <c r="J236" s="11"/>
      <c r="L236" s="12"/>
    </row>
    <row r="237" spans="1:12" x14ac:dyDescent="0.25">
      <c r="A237" s="9"/>
      <c r="C237" s="10" t="str">
        <f>IF(OR(A237="",B237=""),"",A237&amp;" - "&amp;B237)</f>
        <v/>
      </c>
      <c r="H237" s="11"/>
      <c r="I237" s="11"/>
      <c r="J237" s="11"/>
      <c r="L237" s="12"/>
    </row>
    <row r="238" spans="1:12" x14ac:dyDescent="0.25">
      <c r="A238" s="9"/>
      <c r="C238" s="10" t="str">
        <f>IF(OR(A238="",B238=""),"",A238&amp;" - "&amp;B238)</f>
        <v/>
      </c>
      <c r="H238" s="11"/>
      <c r="I238" s="11"/>
      <c r="J238" s="11"/>
      <c r="L238" s="12"/>
    </row>
    <row r="239" spans="1:12" x14ac:dyDescent="0.25">
      <c r="A239" s="9"/>
      <c r="C239" s="10" t="str">
        <f>IF(OR(A239="",B239=""),"",A239&amp;" - "&amp;B239)</f>
        <v/>
      </c>
      <c r="H239" s="11"/>
      <c r="I239" s="11"/>
      <c r="J239" s="11"/>
      <c r="L239" s="12"/>
    </row>
    <row r="240" spans="1:12" x14ac:dyDescent="0.25">
      <c r="A240" s="9"/>
      <c r="C240" s="10" t="str">
        <f>IF(OR(A240="",B240=""),"",A240&amp;" - "&amp;B240)</f>
        <v/>
      </c>
      <c r="H240" s="11"/>
      <c r="I240" s="11"/>
      <c r="J240" s="11"/>
      <c r="L240" s="12"/>
    </row>
    <row r="241" spans="1:12" x14ac:dyDescent="0.25">
      <c r="A241" s="9"/>
      <c r="C241" s="10" t="str">
        <f>IF(OR(A241="",B241=""),"",A241&amp;" - "&amp;B241)</f>
        <v/>
      </c>
      <c r="H241" s="11"/>
      <c r="I241" s="11"/>
      <c r="J241" s="11"/>
      <c r="L241" s="12"/>
    </row>
    <row r="242" spans="1:12" x14ac:dyDescent="0.25">
      <c r="A242" s="9"/>
      <c r="C242" s="10" t="str">
        <f>IF(OR(A242="",B242=""),"",A242&amp;" - "&amp;B242)</f>
        <v/>
      </c>
      <c r="H242" s="11"/>
      <c r="I242" s="11"/>
      <c r="J242" s="11"/>
      <c r="L242" s="12"/>
    </row>
    <row r="243" spans="1:12" x14ac:dyDescent="0.25">
      <c r="A243" s="9"/>
      <c r="C243" s="10" t="str">
        <f>IF(OR(A243="",B243=""),"",A243&amp;" - "&amp;B243)</f>
        <v/>
      </c>
      <c r="H243" s="11"/>
      <c r="I243" s="11"/>
      <c r="J243" s="11"/>
      <c r="L243" s="12"/>
    </row>
    <row r="244" spans="1:12" x14ac:dyDescent="0.25">
      <c r="A244" s="9"/>
      <c r="C244" s="10" t="str">
        <f>IF(OR(A244="",B244=""),"",A244&amp;" - "&amp;B244)</f>
        <v/>
      </c>
      <c r="H244" s="11"/>
      <c r="I244" s="11"/>
      <c r="J244" s="11"/>
      <c r="L244" s="12"/>
    </row>
    <row r="245" spans="1:12" x14ac:dyDescent="0.25">
      <c r="A245" s="9"/>
      <c r="C245" s="10" t="str">
        <f>IF(OR(A245="",B245=""),"",A245&amp;" - "&amp;B245)</f>
        <v/>
      </c>
      <c r="H245" s="11"/>
      <c r="I245" s="11"/>
      <c r="J245" s="11"/>
      <c r="L245" s="12"/>
    </row>
    <row r="246" spans="1:12" x14ac:dyDescent="0.25">
      <c r="A246" s="9"/>
      <c r="C246" s="10" t="str">
        <f>IF(OR(A246="",B246=""),"",A246&amp;" - "&amp;B246)</f>
        <v/>
      </c>
      <c r="H246" s="11"/>
      <c r="I246" s="11"/>
      <c r="J246" s="11"/>
      <c r="L246" s="12"/>
    </row>
    <row r="247" spans="1:12" x14ac:dyDescent="0.25">
      <c r="A247" s="9"/>
      <c r="C247" s="10" t="str">
        <f>IF(OR(A247="",B247=""),"",A247&amp;" - "&amp;B247)</f>
        <v/>
      </c>
      <c r="H247" s="11"/>
      <c r="I247" s="11"/>
      <c r="J247" s="11"/>
      <c r="L247" s="12"/>
    </row>
    <row r="248" spans="1:12" x14ac:dyDescent="0.25">
      <c r="A248" s="9"/>
      <c r="C248" s="10" t="str">
        <f>IF(OR(A248="",B248=""),"",A248&amp;" - "&amp;B248)</f>
        <v/>
      </c>
      <c r="H248" s="11"/>
      <c r="I248" s="11"/>
      <c r="J248" s="11"/>
      <c r="L248" s="12"/>
    </row>
    <row r="249" spans="1:12" x14ac:dyDescent="0.25">
      <c r="A249" s="9"/>
      <c r="C249" s="10" t="str">
        <f>IF(OR(A249="",B249=""),"",A249&amp;" - "&amp;B249)</f>
        <v/>
      </c>
      <c r="H249" s="11"/>
      <c r="I249" s="11"/>
      <c r="J249" s="11"/>
      <c r="L249" s="12"/>
    </row>
    <row r="250" spans="1:12" x14ac:dyDescent="0.25">
      <c r="A250" s="9"/>
      <c r="C250" s="10" t="str">
        <f>IF(OR(A250="",B250=""),"",A250&amp;" - "&amp;B250)</f>
        <v/>
      </c>
      <c r="H250" s="11"/>
      <c r="I250" s="11"/>
      <c r="J250" s="11"/>
      <c r="L250" s="12"/>
    </row>
    <row r="251" spans="1:12" x14ac:dyDescent="0.25">
      <c r="A251" s="9"/>
      <c r="C251" s="10" t="str">
        <f>IF(OR(A251="",B251=""),"",A251&amp;" - "&amp;B251)</f>
        <v/>
      </c>
      <c r="H251" s="11"/>
      <c r="I251" s="11"/>
      <c r="J251" s="11"/>
      <c r="L251" s="12"/>
    </row>
    <row r="252" spans="1:12" x14ac:dyDescent="0.25">
      <c r="A252" s="9"/>
      <c r="C252" s="10" t="str">
        <f>IF(OR(A252="",B252=""),"",A252&amp;" - "&amp;B252)</f>
        <v/>
      </c>
      <c r="H252" s="11"/>
      <c r="I252" s="11"/>
      <c r="J252" s="11"/>
      <c r="L252" s="12"/>
    </row>
    <row r="253" spans="1:12" x14ac:dyDescent="0.25">
      <c r="A253" s="9"/>
      <c r="C253" s="10" t="str">
        <f>IF(OR(A253="",B253=""),"",A253&amp;" - "&amp;B253)</f>
        <v/>
      </c>
      <c r="H253" s="11"/>
      <c r="I253" s="11"/>
      <c r="J253" s="11"/>
      <c r="L253" s="12"/>
    </row>
    <row r="254" spans="1:12" x14ac:dyDescent="0.25">
      <c r="A254" s="9"/>
      <c r="C254" s="10" t="str">
        <f>IF(OR(A254="",B254=""),"",A254&amp;" - "&amp;B254)</f>
        <v/>
      </c>
      <c r="H254" s="11"/>
      <c r="I254" s="11"/>
      <c r="J254" s="11"/>
      <c r="L254" s="12"/>
    </row>
    <row r="255" spans="1:12" x14ac:dyDescent="0.25">
      <c r="A255" s="9"/>
      <c r="C255" s="10" t="str">
        <f>IF(OR(A255="",B255=""),"",A255&amp;" - "&amp;B255)</f>
        <v/>
      </c>
      <c r="H255" s="11"/>
      <c r="I255" s="11"/>
      <c r="J255" s="11"/>
      <c r="L255" s="12"/>
    </row>
    <row r="256" spans="1:12" x14ac:dyDescent="0.25">
      <c r="A256" s="9"/>
      <c r="C256" s="10" t="str">
        <f>IF(OR(A256="",B256=""),"",A256&amp;" - "&amp;B256)</f>
        <v/>
      </c>
      <c r="H256" s="11"/>
      <c r="I256" s="11"/>
      <c r="J256" s="11"/>
      <c r="L256" s="12"/>
    </row>
    <row r="257" spans="1:12" x14ac:dyDescent="0.25">
      <c r="A257" s="9"/>
      <c r="C257" s="10" t="str">
        <f>IF(OR(A257="",B257=""),"",A257&amp;" - "&amp;B257)</f>
        <v/>
      </c>
      <c r="H257" s="11"/>
      <c r="I257" s="11"/>
      <c r="J257" s="11"/>
      <c r="L257" s="12"/>
    </row>
    <row r="258" spans="1:12" x14ac:dyDescent="0.25">
      <c r="A258" s="9"/>
      <c r="C258" s="10" t="str">
        <f>IF(OR(A258="",B258=""),"",A258&amp;" - "&amp;B258)</f>
        <v/>
      </c>
      <c r="H258" s="11"/>
      <c r="I258" s="11"/>
      <c r="J258" s="11"/>
      <c r="L258" s="12"/>
    </row>
    <row r="259" spans="1:12" x14ac:dyDescent="0.25">
      <c r="A259" s="9"/>
      <c r="C259" s="10" t="str">
        <f>IF(OR(A259="",B259=""),"",A259&amp;" - "&amp;B259)</f>
        <v/>
      </c>
      <c r="H259" s="11"/>
      <c r="I259" s="11"/>
      <c r="J259" s="11"/>
      <c r="L259" s="12"/>
    </row>
    <row r="260" spans="1:12" x14ac:dyDescent="0.25">
      <c r="A260" s="9"/>
      <c r="C260" s="10" t="str">
        <f>IF(OR(A260="",B260=""),"",A260&amp;" - "&amp;B260)</f>
        <v/>
      </c>
      <c r="H260" s="11"/>
      <c r="I260" s="11"/>
      <c r="J260" s="11"/>
      <c r="L260" s="12"/>
    </row>
    <row r="261" spans="1:12" x14ac:dyDescent="0.25">
      <c r="A261" s="9"/>
      <c r="C261" s="10" t="str">
        <f>IF(OR(A261="",B261=""),"",A261&amp;" - "&amp;B261)</f>
        <v/>
      </c>
      <c r="H261" s="11"/>
      <c r="I261" s="11"/>
      <c r="J261" s="11"/>
      <c r="L261" s="12"/>
    </row>
    <row r="262" spans="1:12" x14ac:dyDescent="0.25">
      <c r="A262" s="9"/>
      <c r="C262" s="10" t="str">
        <f>IF(OR(A262="",B262=""),"",A262&amp;" - "&amp;B262)</f>
        <v/>
      </c>
      <c r="H262" s="11"/>
      <c r="I262" s="11"/>
      <c r="J262" s="11"/>
      <c r="L262" s="12"/>
    </row>
    <row r="263" spans="1:12" x14ac:dyDescent="0.25">
      <c r="A263" s="9"/>
      <c r="C263" s="10" t="str">
        <f>IF(OR(A263="",B263=""),"",A263&amp;" - "&amp;B263)</f>
        <v/>
      </c>
      <c r="H263" s="11"/>
      <c r="I263" s="11"/>
      <c r="J263" s="11"/>
      <c r="L263" s="12"/>
    </row>
    <row r="264" spans="1:12" x14ac:dyDescent="0.25">
      <c r="A264" s="9"/>
      <c r="C264" s="10" t="str">
        <f>IF(OR(A264="",B264=""),"",A264&amp;" - "&amp;B264)</f>
        <v/>
      </c>
      <c r="H264" s="11"/>
      <c r="I264" s="11"/>
      <c r="J264" s="11"/>
      <c r="L264" s="12"/>
    </row>
    <row r="265" spans="1:12" x14ac:dyDescent="0.25">
      <c r="A265" s="9"/>
      <c r="C265" s="10" t="str">
        <f>IF(OR(A265="",B265=""),"",A265&amp;" - "&amp;B265)</f>
        <v/>
      </c>
      <c r="H265" s="11"/>
      <c r="I265" s="11"/>
      <c r="J265" s="11"/>
      <c r="L265" s="12"/>
    </row>
    <row r="266" spans="1:12" x14ac:dyDescent="0.25">
      <c r="A266" s="9"/>
      <c r="C266" s="10" t="str">
        <f>IF(OR(A266="",B266=""),"",A266&amp;" - "&amp;B266)</f>
        <v/>
      </c>
      <c r="H266" s="11"/>
      <c r="I266" s="11"/>
      <c r="J266" s="11"/>
      <c r="L266" s="12"/>
    </row>
    <row r="267" spans="1:12" x14ac:dyDescent="0.25">
      <c r="A267" s="9"/>
      <c r="C267" s="10" t="str">
        <f>IF(OR(A267="",B267=""),"",A267&amp;" - "&amp;B267)</f>
        <v/>
      </c>
      <c r="H267" s="11"/>
      <c r="I267" s="11"/>
      <c r="J267" s="11"/>
      <c r="L267" s="12"/>
    </row>
    <row r="268" spans="1:12" x14ac:dyDescent="0.25">
      <c r="A268" s="9"/>
      <c r="C268" s="10" t="str">
        <f>IF(OR(A268="",B268=""),"",A268&amp;" - "&amp;B268)</f>
        <v/>
      </c>
      <c r="H268" s="11"/>
      <c r="I268" s="11"/>
      <c r="J268" s="11"/>
      <c r="L268" s="12"/>
    </row>
    <row r="269" spans="1:12" x14ac:dyDescent="0.25">
      <c r="A269" s="9"/>
      <c r="C269" s="10" t="str">
        <f>IF(OR(A269="",B269=""),"",A269&amp;" - "&amp;B269)</f>
        <v/>
      </c>
      <c r="H269" s="11"/>
      <c r="I269" s="11"/>
      <c r="J269" s="11"/>
      <c r="L269" s="12"/>
    </row>
    <row r="270" spans="1:12" x14ac:dyDescent="0.25">
      <c r="A270" s="9"/>
      <c r="C270" s="10" t="str">
        <f>IF(OR(A270="",B270=""),"",A270&amp;" - "&amp;B270)</f>
        <v/>
      </c>
      <c r="H270" s="11"/>
      <c r="I270" s="11"/>
      <c r="J270" s="11"/>
      <c r="L270" s="12"/>
    </row>
    <row r="271" spans="1:12" x14ac:dyDescent="0.25">
      <c r="A271" s="9"/>
      <c r="C271" s="10" t="str">
        <f>IF(OR(A271="",B271=""),"",A271&amp;" - "&amp;B271)</f>
        <v/>
      </c>
      <c r="H271" s="11"/>
      <c r="I271" s="11"/>
      <c r="J271" s="11"/>
      <c r="L271" s="12"/>
    </row>
    <row r="272" spans="1:12" x14ac:dyDescent="0.25">
      <c r="A272" s="9"/>
      <c r="C272" s="10" t="str">
        <f>IF(OR(A272="",B272=""),"",A272&amp;" - "&amp;B272)</f>
        <v/>
      </c>
      <c r="H272" s="11"/>
      <c r="I272" s="11"/>
      <c r="J272" s="11"/>
      <c r="L272" s="12"/>
    </row>
    <row r="273" spans="1:12" x14ac:dyDescent="0.25">
      <c r="A273" s="9"/>
      <c r="C273" s="10" t="str">
        <f>IF(OR(A273="",B273=""),"",A273&amp;" - "&amp;B273)</f>
        <v/>
      </c>
      <c r="H273" s="11"/>
      <c r="I273" s="11"/>
      <c r="J273" s="11"/>
      <c r="L273" s="12"/>
    </row>
    <row r="274" spans="1:12" x14ac:dyDescent="0.25">
      <c r="A274" s="9"/>
      <c r="C274" s="10" t="str">
        <f>IF(OR(A274="",B274=""),"",A274&amp;" - "&amp;B274)</f>
        <v/>
      </c>
      <c r="H274" s="11"/>
      <c r="I274" s="11"/>
      <c r="J274" s="11"/>
      <c r="L274" s="12"/>
    </row>
    <row r="275" spans="1:12" x14ac:dyDescent="0.25">
      <c r="A275" s="9"/>
      <c r="C275" s="10" t="str">
        <f>IF(OR(A275="",B275=""),"",A275&amp;" - "&amp;B275)</f>
        <v/>
      </c>
      <c r="H275" s="11"/>
      <c r="I275" s="11"/>
      <c r="J275" s="11"/>
      <c r="L275" s="12"/>
    </row>
    <row r="276" spans="1:12" x14ac:dyDescent="0.25">
      <c r="A276" s="9"/>
      <c r="C276" s="10" t="str">
        <f>IF(OR(A276="",B276=""),"",A276&amp;" - "&amp;B276)</f>
        <v/>
      </c>
      <c r="H276" s="11"/>
      <c r="I276" s="11"/>
      <c r="J276" s="11"/>
      <c r="L276" s="12"/>
    </row>
    <row r="277" spans="1:12" x14ac:dyDescent="0.25">
      <c r="A277" s="9"/>
      <c r="C277" s="10" t="str">
        <f>IF(OR(A277="",B277=""),"",A277&amp;" - "&amp;B277)</f>
        <v/>
      </c>
      <c r="H277" s="11"/>
      <c r="I277" s="11"/>
      <c r="J277" s="11"/>
      <c r="L277" s="12"/>
    </row>
    <row r="278" spans="1:12" x14ac:dyDescent="0.25">
      <c r="A278" s="9"/>
      <c r="C278" s="10" t="str">
        <f>IF(OR(A278="",B278=""),"",A278&amp;" - "&amp;B278)</f>
        <v/>
      </c>
      <c r="H278" s="11"/>
      <c r="I278" s="11"/>
      <c r="J278" s="11"/>
      <c r="L278" s="12"/>
    </row>
    <row r="279" spans="1:12" x14ac:dyDescent="0.25">
      <c r="A279" s="9"/>
      <c r="C279" s="10" t="str">
        <f>IF(OR(A279="",B279=""),"",A279&amp;" - "&amp;B279)</f>
        <v/>
      </c>
      <c r="H279" s="11"/>
      <c r="I279" s="11"/>
      <c r="J279" s="11"/>
      <c r="L279" s="12"/>
    </row>
    <row r="280" spans="1:12" x14ac:dyDescent="0.25">
      <c r="A280" s="9"/>
      <c r="C280" s="10" t="str">
        <f>IF(OR(A280="",B280=""),"",A280&amp;" - "&amp;B280)</f>
        <v/>
      </c>
      <c r="H280" s="11"/>
      <c r="I280" s="11"/>
      <c r="J280" s="11"/>
      <c r="L280" s="12"/>
    </row>
    <row r="281" spans="1:12" x14ac:dyDescent="0.25">
      <c r="A281" s="9"/>
      <c r="C281" s="10" t="str">
        <f>IF(OR(A281="",B281=""),"",A281&amp;" - "&amp;B281)</f>
        <v/>
      </c>
      <c r="H281" s="11"/>
      <c r="I281" s="11"/>
      <c r="J281" s="11"/>
      <c r="L281" s="12"/>
    </row>
    <row r="282" spans="1:12" x14ac:dyDescent="0.25">
      <c r="A282" s="9"/>
      <c r="C282" s="10" t="str">
        <f>IF(OR(A282="",B282=""),"",A282&amp;" - "&amp;B282)</f>
        <v/>
      </c>
      <c r="H282" s="11"/>
      <c r="I282" s="11"/>
      <c r="J282" s="11"/>
      <c r="L282" s="12"/>
    </row>
    <row r="283" spans="1:12" x14ac:dyDescent="0.25">
      <c r="A283" s="9"/>
      <c r="C283" s="10" t="str">
        <f>IF(OR(A283="",B283=""),"",A283&amp;" - "&amp;B283)</f>
        <v/>
      </c>
      <c r="H283" s="11"/>
      <c r="I283" s="11"/>
      <c r="J283" s="11"/>
      <c r="L283" s="12"/>
    </row>
    <row r="284" spans="1:12" x14ac:dyDescent="0.25">
      <c r="A284" s="9"/>
      <c r="C284" s="10" t="str">
        <f>IF(OR(A284="",B284=""),"",A284&amp;" - "&amp;B284)</f>
        <v/>
      </c>
      <c r="H284" s="11"/>
      <c r="I284" s="11"/>
      <c r="J284" s="11"/>
      <c r="L284" s="12"/>
    </row>
    <row r="285" spans="1:12" x14ac:dyDescent="0.25">
      <c r="A285" s="9"/>
      <c r="C285" s="10" t="str">
        <f>IF(OR(A285="",B285=""),"",A285&amp;" - "&amp;B285)</f>
        <v/>
      </c>
      <c r="H285" s="11"/>
      <c r="I285" s="11"/>
      <c r="J285" s="11"/>
      <c r="L285" s="12"/>
    </row>
    <row r="286" spans="1:12" x14ac:dyDescent="0.25">
      <c r="A286" s="9"/>
      <c r="C286" s="10" t="str">
        <f>IF(OR(A286="",B286=""),"",A286&amp;" - "&amp;B286)</f>
        <v/>
      </c>
      <c r="H286" s="11"/>
      <c r="I286" s="11"/>
      <c r="J286" s="11"/>
      <c r="L286" s="12"/>
    </row>
    <row r="287" spans="1:12" x14ac:dyDescent="0.25">
      <c r="A287" s="9"/>
      <c r="C287" s="10" t="str">
        <f>IF(OR(A287="",B287=""),"",A287&amp;" - "&amp;B287)</f>
        <v/>
      </c>
      <c r="H287" s="11"/>
      <c r="I287" s="11"/>
      <c r="J287" s="11"/>
      <c r="L287" s="12"/>
    </row>
    <row r="288" spans="1:12" x14ac:dyDescent="0.25">
      <c r="A288" s="9"/>
      <c r="C288" s="10" t="str">
        <f>IF(OR(A288="",B288=""),"",A288&amp;" - "&amp;B288)</f>
        <v/>
      </c>
      <c r="H288" s="11"/>
      <c r="I288" s="11"/>
      <c r="J288" s="11"/>
      <c r="L288" s="12"/>
    </row>
    <row r="289" spans="1:12" x14ac:dyDescent="0.25">
      <c r="A289" s="9"/>
      <c r="C289" s="10" t="str">
        <f>IF(OR(A289="",B289=""),"",A289&amp;" - "&amp;B289)</f>
        <v/>
      </c>
      <c r="H289" s="11"/>
      <c r="I289" s="11"/>
      <c r="J289" s="11"/>
      <c r="L289" s="12"/>
    </row>
    <row r="290" spans="1:12" x14ac:dyDescent="0.25">
      <c r="A290" s="9"/>
      <c r="C290" s="10" t="str">
        <f>IF(OR(A290="",B290=""),"",A290&amp;" - "&amp;B290)</f>
        <v/>
      </c>
      <c r="H290" s="11"/>
      <c r="I290" s="11"/>
      <c r="J290" s="11"/>
      <c r="L290" s="12"/>
    </row>
    <row r="291" spans="1:12" x14ac:dyDescent="0.25">
      <c r="A291" s="9"/>
      <c r="C291" s="10" t="str">
        <f>IF(OR(A291="",B291=""),"",A291&amp;" - "&amp;B291)</f>
        <v/>
      </c>
      <c r="H291" s="11"/>
      <c r="I291" s="11"/>
      <c r="J291" s="11"/>
      <c r="L291" s="12"/>
    </row>
    <row r="292" spans="1:12" x14ac:dyDescent="0.25">
      <c r="A292" s="9"/>
      <c r="C292" s="10" t="str">
        <f>IF(OR(A292="",B292=""),"",A292&amp;" - "&amp;B292)</f>
        <v/>
      </c>
      <c r="H292" s="11"/>
      <c r="I292" s="11"/>
      <c r="J292" s="11"/>
      <c r="L292" s="12"/>
    </row>
    <row r="293" spans="1:12" x14ac:dyDescent="0.25">
      <c r="A293" s="9"/>
      <c r="C293" s="10" t="str">
        <f>IF(OR(A293="",B293=""),"",A293&amp;" - "&amp;B293)</f>
        <v/>
      </c>
      <c r="H293" s="11"/>
      <c r="I293" s="11"/>
      <c r="J293" s="11"/>
      <c r="L293" s="12"/>
    </row>
    <row r="294" spans="1:12" x14ac:dyDescent="0.25">
      <c r="A294" s="9"/>
      <c r="C294" s="10" t="str">
        <f>IF(OR(A294="",B294=""),"",A294&amp;" - "&amp;B294)</f>
        <v/>
      </c>
      <c r="H294" s="11"/>
      <c r="I294" s="11"/>
      <c r="J294" s="11"/>
      <c r="L294" s="12"/>
    </row>
    <row r="295" spans="1:12" x14ac:dyDescent="0.25">
      <c r="A295" s="9"/>
      <c r="C295" s="10" t="str">
        <f>IF(OR(A295="",B295=""),"",A295&amp;" - "&amp;B295)</f>
        <v/>
      </c>
      <c r="H295" s="11"/>
      <c r="I295" s="11"/>
      <c r="J295" s="11"/>
      <c r="L295" s="12"/>
    </row>
    <row r="296" spans="1:12" x14ac:dyDescent="0.25">
      <c r="A296" s="9"/>
      <c r="C296" s="10" t="str">
        <f>IF(OR(A296="",B296=""),"",A296&amp;" - "&amp;B296)</f>
        <v/>
      </c>
      <c r="H296" s="11"/>
      <c r="I296" s="11"/>
      <c r="J296" s="11"/>
      <c r="L296" s="12"/>
    </row>
    <row r="297" spans="1:12" x14ac:dyDescent="0.25">
      <c r="A297" s="9"/>
      <c r="C297" s="10" t="str">
        <f>IF(OR(A297="",B297=""),"",A297&amp;" - "&amp;B297)</f>
        <v/>
      </c>
      <c r="H297" s="11"/>
      <c r="I297" s="11"/>
      <c r="J297" s="11"/>
      <c r="L297" s="12"/>
    </row>
    <row r="298" spans="1:12" x14ac:dyDescent="0.25">
      <c r="A298" s="9"/>
      <c r="C298" s="10" t="str">
        <f>IF(OR(A298="",B298=""),"",A298&amp;" - "&amp;B298)</f>
        <v/>
      </c>
      <c r="H298" s="11"/>
      <c r="I298" s="11"/>
      <c r="J298" s="11"/>
      <c r="L298" s="12"/>
    </row>
    <row r="299" spans="1:12" x14ac:dyDescent="0.25">
      <c r="A299" s="9"/>
      <c r="C299" s="10" t="str">
        <f>IF(OR(A299="",B299=""),"",A299&amp;" - "&amp;B299)</f>
        <v/>
      </c>
      <c r="H299" s="11"/>
      <c r="I299" s="11"/>
      <c r="J299" s="11"/>
      <c r="L299" s="12"/>
    </row>
    <row r="300" spans="1:12" x14ac:dyDescent="0.25">
      <c r="A300" s="9"/>
      <c r="C300" s="10" t="str">
        <f>IF(OR(A300="",B300=""),"",A300&amp;" - "&amp;B300)</f>
        <v/>
      </c>
      <c r="H300" s="11"/>
      <c r="I300" s="11"/>
      <c r="J300" s="11"/>
      <c r="L300" s="12"/>
    </row>
    <row r="301" spans="1:12" x14ac:dyDescent="0.25">
      <c r="A301" s="9"/>
      <c r="C301" s="10" t="str">
        <f>IF(OR(A301="",B301=""),"",A301&amp;" - "&amp;B301)</f>
        <v/>
      </c>
      <c r="H301" s="11"/>
      <c r="I301" s="11"/>
      <c r="J301" s="11"/>
      <c r="L301" s="12"/>
    </row>
  </sheetData>
  <dataValidations count="8">
    <dataValidation type="list" allowBlank="1" showErrorMessage="1" errorStyle="error" errorTitle="Valor no válido" error="Elegí una opción de la lista. Para agregar opciones, cargalas en la hoja Modelos o Diccionarios." sqref="D10:D301">
      <formula1>OFFSET(Diccionarios!$L$2,0,0,MAX(1,COUNTA(Diccionarios!$L$2:$L$201)),1)</formula1>
    </dataValidation>
    <dataValidation type="list" allowBlank="1" showErrorMessage="1" errorStyle="error" errorTitle="Valor no válido" error="Elegí una opción de la lista. Para agregar opciones, cargalas en la hoja Modelos o Diccionarios." sqref="D2:D301">
      <formula1>OFFSET(Diccionarios!$L$2,0,0,MAX(1,COUNTA(Diccionarios!$L$2:$L$201)),1)</formula1>
    </dataValidation>
    <dataValidation type="list" allowBlank="1" showErrorMessage="1" errorStyle="error" errorTitle="Valor no válido" error="Elegí una opción de la lista. Para agregar opciones, cargalas en la hoja Modelos o Diccionarios." sqref="E10:E301">
      <formula1>Diccionarios!$N$2:$N$4</formula1>
    </dataValidation>
    <dataValidation type="list" allowBlank="1" showErrorMessage="1" errorStyle="error" errorTitle="Valor no válido" error="Elegí una opción de la lista. Para agregar opciones, cargalas en la hoja Modelos o Diccionarios." sqref="E2:E301">
      <formula1>Diccionarios!$N$2:$N$4</formula1>
    </dataValidation>
    <dataValidation type="list" allowBlank="1" showErrorMessage="1" errorStyle="error" errorTitle="Valor no válido" error="Elegí una opción de la lista. Para agregar opciones, cargalas en la hoja Modelos o Diccionarios." sqref="K10:K301">
      <formula1>Diccionarios!$P$2:$P$3</formula1>
    </dataValidation>
    <dataValidation type="list" allowBlank="1" showErrorMessage="1" errorStyle="error" errorTitle="Valor no válido" error="Elegí una opción de la lista. Para agregar opciones, cargalas en la hoja Modelos o Diccionarios." sqref="K2:K301">
      <formula1>Diccionarios!$P$2:$P$3</formula1>
    </dataValidation>
    <dataValidation type="textLength" operator="lessThanOrEqual" allowBlank="1" showErrorMessage="1" errorTitle="Descripción muy larga" error="La descripción puede tener hasta 2000 caracteres." sqref="L10:L301">
      <formula1>2000</formula1>
    </dataValidation>
    <dataValidation type="textLength" operator="lessThanOrEqual" allowBlank="1" showErrorMessage="1" errorTitle="Descripción muy larga" error="La descripción puede tener hasta 2000 caracteres." sqref="L2:L301">
      <formula1>2000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32" customWidth="1"/>
    <col min="4" max="4" width="26" customWidth="1"/>
    <col min="5" max="5" width="3" customWidth="1"/>
    <col min="6" max="6" width="11" customWidth="1"/>
    <col min="7" max="7" width="18" customWidth="1"/>
    <col min="8" max="8" width="20" customWidth="1"/>
    <col min="9" max="9" width="3" customWidth="1"/>
    <col min="10" max="10" width="10" style="9" customWidth="1"/>
    <col min="11" max="11" width="3" customWidth="1"/>
    <col min="12" max="12" width="16" customWidth="1"/>
    <col min="13" max="13" width="3" customWidth="1"/>
    <col min="14" max="14" width="14" customWidth="1"/>
    <col min="15" max="15" width="3" customWidth="1"/>
    <col min="16" max="16" width="10" customWidth="1"/>
  </cols>
  <sheetData>
    <row r="1" ht="30" customHeight="1" spans="1:16" x14ac:dyDescent="0.25">
      <c r="A1" s="1" t="s">
        <v>79</v>
      </c>
      <c r="B1" s="1" t="s">
        <v>16</v>
      </c>
      <c r="C1" s="1" t="s">
        <v>80</v>
      </c>
      <c r="D1" s="2" t="s">
        <v>38</v>
      </c>
      <c r="F1" s="1" t="s">
        <v>81</v>
      </c>
      <c r="G1" s="1" t="s">
        <v>11</v>
      </c>
      <c r="H1" s="2" t="s">
        <v>38</v>
      </c>
      <c r="J1" s="13" t="s">
        <v>82</v>
      </c>
      <c r="L1" s="1" t="s">
        <v>83</v>
      </c>
      <c r="N1" s="14" t="s">
        <v>84</v>
      </c>
      <c r="P1" s="14" t="s">
        <v>18</v>
      </c>
    </row>
    <row r="2" spans="1:16" x14ac:dyDescent="0.25">
      <c r="A2" s="9" t="s">
        <v>85</v>
      </c>
      <c r="B2" t="s">
        <v>86</v>
      </c>
      <c r="C2" t="s">
        <v>87</v>
      </c>
      <c r="D2" s="10" t="str">
        <f>IF(OR(A2="",B2=""),"",A2&amp;" - "&amp;B2)</f>
        <v>01 - Taverniti</v>
      </c>
      <c r="F2" s="9" t="s">
        <v>85</v>
      </c>
      <c r="G2" t="s">
        <v>88</v>
      </c>
      <c r="H2" s="10" t="str">
        <f>IF(OR(F2="",G2=""),"",F2&amp;" - "&amp;G2)</f>
        <v>01 - Azul</v>
      </c>
      <c r="J2" s="9" t="s">
        <v>89</v>
      </c>
      <c r="L2" t="s">
        <v>51</v>
      </c>
      <c r="N2" t="s">
        <v>68</v>
      </c>
      <c r="P2" t="s">
        <v>63</v>
      </c>
    </row>
    <row r="3" spans="1:16" x14ac:dyDescent="0.25">
      <c r="A3" s="9" t="s">
        <v>90</v>
      </c>
      <c r="B3" t="s">
        <v>91</v>
      </c>
      <c r="D3" s="10" t="str">
        <f>IF(OR(A3="",B3=""),"",A3&amp;" - "&amp;B3)</f>
        <v>02 - Levis</v>
      </c>
      <c r="F3" s="9" t="s">
        <v>90</v>
      </c>
      <c r="G3" t="s">
        <v>92</v>
      </c>
      <c r="H3" s="10" t="str">
        <f>IF(OR(F3="",G3=""),"",F3&amp;" - "&amp;G3)</f>
        <v>02 - Negro</v>
      </c>
      <c r="J3" s="9" t="s">
        <v>93</v>
      </c>
      <c r="L3" t="s">
        <v>94</v>
      </c>
      <c r="N3" t="s">
        <v>44</v>
      </c>
      <c r="P3" t="s">
        <v>95</v>
      </c>
    </row>
    <row r="4" spans="1:14" x14ac:dyDescent="0.25">
      <c r="A4" s="9" t="s">
        <v>96</v>
      </c>
      <c r="B4" t="s">
        <v>97</v>
      </c>
      <c r="D4" s="10" t="str">
        <f>IF(OR(A4="",B4=""),"",A4&amp;" - "&amp;B4)</f>
        <v>03 - MarcaLocal</v>
      </c>
      <c r="F4" s="9" t="s">
        <v>96</v>
      </c>
      <c r="G4" t="s">
        <v>98</v>
      </c>
      <c r="H4" s="10" t="str">
        <f>IF(OR(F4="",G4=""),"",F4&amp;" - "&amp;G4)</f>
        <v>03 - Blanco</v>
      </c>
      <c r="J4" s="9" t="s">
        <v>99</v>
      </c>
      <c r="L4" t="s">
        <v>58</v>
      </c>
      <c r="N4" t="s">
        <v>75</v>
      </c>
    </row>
    <row r="5" spans="1:12" x14ac:dyDescent="0.25">
      <c r="A5" s="9" t="s">
        <v>100</v>
      </c>
      <c r="B5" t="s">
        <v>101</v>
      </c>
      <c r="D5" s="10" t="str">
        <f>IF(OR(A5="",B5=""),"",A5&amp;" - "&amp;B5)</f>
        <v>99 - Genérico</v>
      </c>
      <c r="F5" s="9" t="s">
        <v>102</v>
      </c>
      <c r="G5" t="s">
        <v>103</v>
      </c>
      <c r="H5" s="10" t="str">
        <f>IF(OR(F5="",G5=""),"",F5&amp;" - "&amp;G5)</f>
        <v>04 - Gris</v>
      </c>
      <c r="J5" s="9" t="s">
        <v>104</v>
      </c>
      <c r="L5" t="s">
        <v>105</v>
      </c>
    </row>
    <row r="6" spans="1:12" x14ac:dyDescent="0.25">
      <c r="A6" s="9"/>
      <c r="D6" s="10" t="str">
        <f>IF(OR(A6="",B6=""),"",A6&amp;" - "&amp;B6)</f>
        <v/>
      </c>
      <c r="F6" s="9" t="s">
        <v>106</v>
      </c>
      <c r="G6" t="s">
        <v>107</v>
      </c>
      <c r="H6" s="10" t="str">
        <f>IF(OR(F6="",G6=""),"",F6&amp;" - "&amp;G6)</f>
        <v>05 - Rojo</v>
      </c>
      <c r="J6" s="9" t="s">
        <v>108</v>
      </c>
      <c r="L6" t="s">
        <v>43</v>
      </c>
    </row>
    <row r="7" spans="1:12" x14ac:dyDescent="0.25">
      <c r="A7" s="9"/>
      <c r="D7" s="10" t="str">
        <f>IF(OR(A7="",B7=""),"",A7&amp;" - "&amp;B7)</f>
        <v/>
      </c>
      <c r="F7" s="9" t="s">
        <v>109</v>
      </c>
      <c r="G7" t="s">
        <v>110</v>
      </c>
      <c r="H7" s="10" t="str">
        <f>IF(OR(F7="",G7=""),"",F7&amp;" - "&amp;G7)</f>
        <v>06 - Verde</v>
      </c>
      <c r="J7" s="9" t="s">
        <v>111</v>
      </c>
      <c r="L7" t="s">
        <v>67</v>
      </c>
    </row>
    <row r="8" spans="1:12" x14ac:dyDescent="0.25">
      <c r="A8" s="9"/>
      <c r="D8" s="10" t="str">
        <f>IF(OR(A8="",B8=""),"",A8&amp;" - "&amp;B8)</f>
        <v/>
      </c>
      <c r="F8" s="9" t="s">
        <v>112</v>
      </c>
      <c r="G8" t="s">
        <v>113</v>
      </c>
      <c r="H8" s="10" t="str">
        <f>IF(OR(F8="",G8=""),"",F8&amp;" - "&amp;G8)</f>
        <v>07 - Azul marino</v>
      </c>
      <c r="J8" s="9" t="s">
        <v>114</v>
      </c>
      <c r="L8" t="s">
        <v>115</v>
      </c>
    </row>
    <row r="9" spans="1:12" x14ac:dyDescent="0.25">
      <c r="A9" s="9"/>
      <c r="D9" s="10" t="str">
        <f>IF(OR(A9="",B9=""),"",A9&amp;" - "&amp;B9)</f>
        <v/>
      </c>
      <c r="F9" s="9" t="s">
        <v>116</v>
      </c>
      <c r="G9" t="s">
        <v>117</v>
      </c>
      <c r="H9" s="10" t="str">
        <f>IF(OR(F9="",G9=""),"",F9&amp;" - "&amp;G9)</f>
        <v>08 - Azul jean</v>
      </c>
      <c r="J9" s="9" t="s">
        <v>118</v>
      </c>
      <c r="L9" t="s">
        <v>74</v>
      </c>
    </row>
    <row r="10" spans="1:12" x14ac:dyDescent="0.25">
      <c r="A10" s="9"/>
      <c r="D10" s="10" t="str">
        <f>IF(OR(A10="",B10=""),"",A10&amp;" - "&amp;B10)</f>
        <v/>
      </c>
      <c r="F10" s="9" t="s">
        <v>119</v>
      </c>
      <c r="G10" t="s">
        <v>120</v>
      </c>
      <c r="H10" s="10" t="str">
        <f>IF(OR(F10="",G10=""),"",F10&amp;" - "&amp;G10)</f>
        <v>09 - Celeste</v>
      </c>
      <c r="J10" s="9" t="s">
        <v>121</v>
      </c>
      <c r="L10" t="s">
        <v>122</v>
      </c>
    </row>
    <row r="11" spans="1:10" x14ac:dyDescent="0.25">
      <c r="A11" s="9"/>
      <c r="D11" s="10" t="str">
        <f>IF(OR(A11="",B11=""),"",A11&amp;" - "&amp;B11)</f>
        <v/>
      </c>
      <c r="F11" s="9" t="s">
        <v>123</v>
      </c>
      <c r="G11" t="s">
        <v>124</v>
      </c>
      <c r="H11" s="10" t="str">
        <f>IF(OR(F11="",G11=""),"",F11&amp;" - "&amp;G11)</f>
        <v>10 - Beige</v>
      </c>
      <c r="J11" s="9" t="s">
        <v>125</v>
      </c>
    </row>
    <row r="12" spans="1:10" x14ac:dyDescent="0.25">
      <c r="A12" s="9"/>
      <c r="D12" s="10" t="str">
        <f>IF(OR(A12="",B12=""),"",A12&amp;" - "&amp;B12)</f>
        <v/>
      </c>
      <c r="F12" s="9" t="s">
        <v>126</v>
      </c>
      <c r="G12" t="s">
        <v>127</v>
      </c>
      <c r="H12" s="10" t="str">
        <f>IF(OR(F12="",G12=""),"",F12&amp;" - "&amp;G12)</f>
        <v>11 - Gris melange</v>
      </c>
      <c r="J12" s="9" t="s">
        <v>128</v>
      </c>
    </row>
    <row r="13" spans="1:10" x14ac:dyDescent="0.25">
      <c r="A13" s="9"/>
      <c r="D13" s="10" t="str">
        <f>IF(OR(A13="",B13=""),"",A13&amp;" - "&amp;B13)</f>
        <v/>
      </c>
      <c r="F13" s="9" t="s">
        <v>129</v>
      </c>
      <c r="G13" t="s">
        <v>130</v>
      </c>
      <c r="H13" s="10" t="str">
        <f>IF(OR(F13="",G13=""),"",F13&amp;" - "&amp;G13)</f>
        <v>12 - Verde militar</v>
      </c>
      <c r="J13" s="9" t="s">
        <v>131</v>
      </c>
    </row>
    <row r="14" spans="1:10" x14ac:dyDescent="0.25">
      <c r="A14" s="9"/>
      <c r="D14" s="10" t="str">
        <f>IF(OR(A14="",B14=""),"",A14&amp;" - "&amp;B14)</f>
        <v/>
      </c>
      <c r="F14" s="9" t="s">
        <v>132</v>
      </c>
      <c r="G14" t="s">
        <v>133</v>
      </c>
      <c r="H14" s="10" t="str">
        <f>IF(OR(F14="",G14=""),"",F14&amp;" - "&amp;G14)</f>
        <v>13 - Bordó</v>
      </c>
      <c r="J14" s="9" t="s">
        <v>134</v>
      </c>
    </row>
    <row r="15" spans="1:10" x14ac:dyDescent="0.25">
      <c r="A15" s="9"/>
      <c r="D15" s="10" t="str">
        <f>IF(OR(A15="",B15=""),"",A15&amp;" - "&amp;B15)</f>
        <v/>
      </c>
      <c r="F15" s="9" t="s">
        <v>100</v>
      </c>
      <c r="G15" t="s">
        <v>135</v>
      </c>
      <c r="H15" s="10" t="str">
        <f>IF(OR(F15="",G15=""),"",F15&amp;" - "&amp;G15)</f>
        <v>99 - Varios</v>
      </c>
      <c r="J15" s="9" t="s">
        <v>136</v>
      </c>
    </row>
    <row r="16" spans="1:10" x14ac:dyDescent="0.25">
      <c r="A16" s="9"/>
      <c r="D16" s="10" t="str">
        <f>IF(OR(A16="",B16=""),"",A16&amp;" - "&amp;B16)</f>
        <v/>
      </c>
      <c r="F16" s="9"/>
      <c r="H16" s="10" t="str">
        <f>IF(OR(F16="",G16=""),"",F16&amp;" - "&amp;G16)</f>
        <v/>
      </c>
      <c r="J16" s="9" t="s">
        <v>137</v>
      </c>
    </row>
    <row r="17" spans="1:10" x14ac:dyDescent="0.25">
      <c r="A17" s="9"/>
      <c r="D17" s="10" t="str">
        <f>IF(OR(A17="",B17=""),"",A17&amp;" - "&amp;B17)</f>
        <v/>
      </c>
      <c r="F17" s="9"/>
      <c r="H17" s="10" t="str">
        <f>IF(OR(F17="",G17=""),"",F17&amp;" - "&amp;G17)</f>
        <v/>
      </c>
      <c r="J17" s="9" t="s">
        <v>138</v>
      </c>
    </row>
    <row r="18" spans="1:10" x14ac:dyDescent="0.25">
      <c r="A18" s="9"/>
      <c r="D18" s="10" t="str">
        <f>IF(OR(A18="",B18=""),"",A18&amp;" - "&amp;B18)</f>
        <v/>
      </c>
      <c r="F18" s="9"/>
      <c r="H18" s="10" t="str">
        <f>IF(OR(F18="",G18=""),"",F18&amp;" - "&amp;G18)</f>
        <v/>
      </c>
      <c r="J18" s="9"/>
    </row>
    <row r="19" spans="1:10" x14ac:dyDescent="0.25">
      <c r="A19" s="9"/>
      <c r="D19" s="10" t="str">
        <f>IF(OR(A19="",B19=""),"",A19&amp;" - "&amp;B19)</f>
        <v/>
      </c>
      <c r="F19" s="9"/>
      <c r="H19" s="10" t="str">
        <f>IF(OR(F19="",G19=""),"",F19&amp;" - "&amp;G19)</f>
        <v/>
      </c>
      <c r="J19" s="9"/>
    </row>
    <row r="20" spans="1:10" x14ac:dyDescent="0.25">
      <c r="A20" s="9"/>
      <c r="D20" s="10" t="str">
        <f>IF(OR(A20="",B20=""),"",A20&amp;" - "&amp;B20)</f>
        <v/>
      </c>
      <c r="F20" s="9"/>
      <c r="H20" s="10" t="str">
        <f>IF(OR(F20="",G20=""),"",F20&amp;" - "&amp;G20)</f>
        <v/>
      </c>
      <c r="J20" s="9"/>
    </row>
    <row r="21" spans="1:10" x14ac:dyDescent="0.25">
      <c r="A21" s="9"/>
      <c r="D21" s="10" t="str">
        <f>IF(OR(A21="",B21=""),"",A21&amp;" - "&amp;B21)</f>
        <v/>
      </c>
      <c r="F21" s="9"/>
      <c r="H21" s="10" t="str">
        <f>IF(OR(F21="",G21=""),"",F21&amp;" - "&amp;G21)</f>
        <v/>
      </c>
      <c r="J21" s="9"/>
    </row>
    <row r="22" spans="1:10" x14ac:dyDescent="0.25">
      <c r="A22" s="9"/>
      <c r="D22" s="10" t="str">
        <f>IF(OR(A22="",B22=""),"",A22&amp;" - "&amp;B22)</f>
        <v/>
      </c>
      <c r="F22" s="9"/>
      <c r="H22" s="10" t="str">
        <f>IF(OR(F22="",G22=""),"",F22&amp;" - "&amp;G22)</f>
        <v/>
      </c>
      <c r="J22" s="9"/>
    </row>
    <row r="23" spans="1:10" x14ac:dyDescent="0.25">
      <c r="A23" s="9"/>
      <c r="D23" s="10" t="str">
        <f>IF(OR(A23="",B23=""),"",A23&amp;" - "&amp;B23)</f>
        <v/>
      </c>
      <c r="F23" s="9"/>
      <c r="H23" s="10" t="str">
        <f>IF(OR(F23="",G23=""),"",F23&amp;" - "&amp;G23)</f>
        <v/>
      </c>
      <c r="J23" s="9"/>
    </row>
    <row r="24" spans="1:10" x14ac:dyDescent="0.25">
      <c r="A24" s="9"/>
      <c r="D24" s="10" t="str">
        <f>IF(OR(A24="",B24=""),"",A24&amp;" - "&amp;B24)</f>
        <v/>
      </c>
      <c r="F24" s="9"/>
      <c r="H24" s="10" t="str">
        <f>IF(OR(F24="",G24=""),"",F24&amp;" - "&amp;G24)</f>
        <v/>
      </c>
      <c r="J24" s="9"/>
    </row>
    <row r="25" spans="1:10" x14ac:dyDescent="0.25">
      <c r="A25" s="9"/>
      <c r="D25" s="10" t="str">
        <f>IF(OR(A25="",B25=""),"",A25&amp;" - "&amp;B25)</f>
        <v/>
      </c>
      <c r="F25" s="9"/>
      <c r="H25" s="10" t="str">
        <f>IF(OR(F25="",G25=""),"",F25&amp;" - "&amp;G25)</f>
        <v/>
      </c>
      <c r="J25" s="9"/>
    </row>
    <row r="26" spans="1:10" x14ac:dyDescent="0.25">
      <c r="A26" s="9"/>
      <c r="D26" s="10" t="str">
        <f>IF(OR(A26="",B26=""),"",A26&amp;" - "&amp;B26)</f>
        <v/>
      </c>
      <c r="F26" s="9"/>
      <c r="H26" s="10" t="str">
        <f>IF(OR(F26="",G26=""),"",F26&amp;" - "&amp;G26)</f>
        <v/>
      </c>
      <c r="J26" s="9"/>
    </row>
    <row r="27" spans="1:10" x14ac:dyDescent="0.25">
      <c r="A27" s="9"/>
      <c r="D27" s="10" t="str">
        <f>IF(OR(A27="",B27=""),"",A27&amp;" - "&amp;B27)</f>
        <v/>
      </c>
      <c r="F27" s="9"/>
      <c r="H27" s="10" t="str">
        <f>IF(OR(F27="",G27=""),"",F27&amp;" - "&amp;G27)</f>
        <v/>
      </c>
      <c r="J27" s="9"/>
    </row>
    <row r="28" spans="1:10" x14ac:dyDescent="0.25">
      <c r="A28" s="9"/>
      <c r="D28" s="10" t="str">
        <f>IF(OR(A28="",B28=""),"",A28&amp;" - "&amp;B28)</f>
        <v/>
      </c>
      <c r="F28" s="9"/>
      <c r="H28" s="10" t="str">
        <f>IF(OR(F28="",G28=""),"",F28&amp;" - "&amp;G28)</f>
        <v/>
      </c>
      <c r="J28" s="9"/>
    </row>
    <row r="29" spans="1:10" x14ac:dyDescent="0.25">
      <c r="A29" s="9"/>
      <c r="D29" s="10" t="str">
        <f>IF(OR(A29="",B29=""),"",A29&amp;" - "&amp;B29)</f>
        <v/>
      </c>
      <c r="F29" s="9"/>
      <c r="H29" s="10" t="str">
        <f>IF(OR(F29="",G29=""),"",F29&amp;" - "&amp;G29)</f>
        <v/>
      </c>
      <c r="J29" s="9"/>
    </row>
    <row r="30" spans="1:10" x14ac:dyDescent="0.25">
      <c r="A30" s="9"/>
      <c r="D30" s="10" t="str">
        <f>IF(OR(A30="",B30=""),"",A30&amp;" - "&amp;B30)</f>
        <v/>
      </c>
      <c r="F30" s="9"/>
      <c r="H30" s="10" t="str">
        <f>IF(OR(F30="",G30=""),"",F30&amp;" - "&amp;G30)</f>
        <v/>
      </c>
      <c r="J30" s="9"/>
    </row>
    <row r="31" spans="1:10" x14ac:dyDescent="0.25">
      <c r="A31" s="9"/>
      <c r="D31" s="10" t="str">
        <f>IF(OR(A31="",B31=""),"",A31&amp;" - "&amp;B31)</f>
        <v/>
      </c>
      <c r="F31" s="9"/>
      <c r="H31" s="10" t="str">
        <f>IF(OR(F31="",G31=""),"",F31&amp;" - "&amp;G31)</f>
        <v/>
      </c>
      <c r="J31" s="9"/>
    </row>
    <row r="32" spans="1:10" x14ac:dyDescent="0.25">
      <c r="A32" s="9"/>
      <c r="D32" s="10" t="str">
        <f>IF(OR(A32="",B32=""),"",A32&amp;" - "&amp;B32)</f>
        <v/>
      </c>
      <c r="F32" s="9"/>
      <c r="H32" s="10" t="str">
        <f>IF(OR(F32="",G32=""),"",F32&amp;" - "&amp;G32)</f>
        <v/>
      </c>
      <c r="J32" s="9"/>
    </row>
    <row r="33" spans="1:10" x14ac:dyDescent="0.25">
      <c r="A33" s="9"/>
      <c r="D33" s="10" t="str">
        <f>IF(OR(A33="",B33=""),"",A33&amp;" - "&amp;B33)</f>
        <v/>
      </c>
      <c r="F33" s="9"/>
      <c r="H33" s="10" t="str">
        <f>IF(OR(F33="",G33=""),"",F33&amp;" - "&amp;G33)</f>
        <v/>
      </c>
      <c r="J33" s="9"/>
    </row>
    <row r="34" spans="1:10" x14ac:dyDescent="0.25">
      <c r="A34" s="9"/>
      <c r="D34" s="10" t="str">
        <f>IF(OR(A34="",B34=""),"",A34&amp;" - "&amp;B34)</f>
        <v/>
      </c>
      <c r="F34" s="9"/>
      <c r="H34" s="10" t="str">
        <f>IF(OR(F34="",G34=""),"",F34&amp;" - "&amp;G34)</f>
        <v/>
      </c>
      <c r="J34" s="9"/>
    </row>
    <row r="35" spans="1:10" x14ac:dyDescent="0.25">
      <c r="A35" s="9"/>
      <c r="D35" s="10" t="str">
        <f>IF(OR(A35="",B35=""),"",A35&amp;" - "&amp;B35)</f>
        <v/>
      </c>
      <c r="F35" s="9"/>
      <c r="H35" s="10" t="str">
        <f>IF(OR(F35="",G35=""),"",F35&amp;" - "&amp;G35)</f>
        <v/>
      </c>
      <c r="J35" s="9"/>
    </row>
    <row r="36" spans="1:10" x14ac:dyDescent="0.25">
      <c r="A36" s="9"/>
      <c r="D36" s="10" t="str">
        <f>IF(OR(A36="",B36=""),"",A36&amp;" - "&amp;B36)</f>
        <v/>
      </c>
      <c r="F36" s="9"/>
      <c r="H36" s="10" t="str">
        <f>IF(OR(F36="",G36=""),"",F36&amp;" - "&amp;G36)</f>
        <v/>
      </c>
      <c r="J36" s="9"/>
    </row>
    <row r="37" spans="1:10" x14ac:dyDescent="0.25">
      <c r="A37" s="9"/>
      <c r="D37" s="10" t="str">
        <f>IF(OR(A37="",B37=""),"",A37&amp;" - "&amp;B37)</f>
        <v/>
      </c>
      <c r="F37" s="9"/>
      <c r="H37" s="10" t="str">
        <f>IF(OR(F37="",G37=""),"",F37&amp;" - "&amp;G37)</f>
        <v/>
      </c>
      <c r="J37" s="9"/>
    </row>
    <row r="38" spans="1:10" x14ac:dyDescent="0.25">
      <c r="A38" s="9"/>
      <c r="D38" s="10" t="str">
        <f>IF(OR(A38="",B38=""),"",A38&amp;" - "&amp;B38)</f>
        <v/>
      </c>
      <c r="F38" s="9"/>
      <c r="H38" s="10" t="str">
        <f>IF(OR(F38="",G38=""),"",F38&amp;" - "&amp;G38)</f>
        <v/>
      </c>
      <c r="J38" s="9"/>
    </row>
    <row r="39" spans="1:10" x14ac:dyDescent="0.25">
      <c r="A39" s="9"/>
      <c r="D39" s="10" t="str">
        <f>IF(OR(A39="",B39=""),"",A39&amp;" - "&amp;B39)</f>
        <v/>
      </c>
      <c r="F39" s="9"/>
      <c r="H39" s="10" t="str">
        <f>IF(OR(F39="",G39=""),"",F39&amp;" - "&amp;G39)</f>
        <v/>
      </c>
      <c r="J39" s="9"/>
    </row>
    <row r="40" spans="1:10" x14ac:dyDescent="0.25">
      <c r="A40" s="9"/>
      <c r="D40" s="10" t="str">
        <f>IF(OR(A40="",B40=""),"",A40&amp;" - "&amp;B40)</f>
        <v/>
      </c>
      <c r="F40" s="9"/>
      <c r="H40" s="10" t="str">
        <f>IF(OR(F40="",G40=""),"",F40&amp;" - "&amp;G40)</f>
        <v/>
      </c>
      <c r="J40" s="9"/>
    </row>
    <row r="41" spans="1:10" x14ac:dyDescent="0.25">
      <c r="A41" s="9"/>
      <c r="D41" s="10" t="str">
        <f>IF(OR(A41="",B41=""),"",A41&amp;" - "&amp;B41)</f>
        <v/>
      </c>
      <c r="F41" s="9"/>
      <c r="H41" s="10" t="str">
        <f>IF(OR(F41="",G41=""),"",F41&amp;" - "&amp;G41)</f>
        <v/>
      </c>
      <c r="J41" s="9"/>
    </row>
    <row r="42" spans="1:10" x14ac:dyDescent="0.25">
      <c r="A42" s="9"/>
      <c r="D42" s="10" t="str">
        <f>IF(OR(A42="",B42=""),"",A42&amp;" - "&amp;B42)</f>
        <v/>
      </c>
      <c r="F42" s="9"/>
      <c r="H42" s="10" t="str">
        <f>IF(OR(F42="",G42=""),"",F42&amp;" - "&amp;G42)</f>
        <v/>
      </c>
      <c r="J42" s="9"/>
    </row>
    <row r="43" spans="1:10" x14ac:dyDescent="0.25">
      <c r="A43" s="9"/>
      <c r="D43" s="10" t="str">
        <f>IF(OR(A43="",B43=""),"",A43&amp;" - "&amp;B43)</f>
        <v/>
      </c>
      <c r="F43" s="9"/>
      <c r="H43" s="10" t="str">
        <f>IF(OR(F43="",G43=""),"",F43&amp;" - "&amp;G43)</f>
        <v/>
      </c>
      <c r="J43" s="9"/>
    </row>
    <row r="44" spans="1:10" x14ac:dyDescent="0.25">
      <c r="A44" s="9"/>
      <c r="D44" s="10" t="str">
        <f>IF(OR(A44="",B44=""),"",A44&amp;" - "&amp;B44)</f>
        <v/>
      </c>
      <c r="F44" s="9"/>
      <c r="H44" s="10" t="str">
        <f>IF(OR(F44="",G44=""),"",F44&amp;" - "&amp;G44)</f>
        <v/>
      </c>
      <c r="J44" s="9"/>
    </row>
    <row r="45" spans="1:10" x14ac:dyDescent="0.25">
      <c r="A45" s="9"/>
      <c r="D45" s="10" t="str">
        <f>IF(OR(A45="",B45=""),"",A45&amp;" - "&amp;B45)</f>
        <v/>
      </c>
      <c r="F45" s="9"/>
      <c r="H45" s="10" t="str">
        <f>IF(OR(F45="",G45=""),"",F45&amp;" - "&amp;G45)</f>
        <v/>
      </c>
      <c r="J45" s="9"/>
    </row>
    <row r="46" spans="1:10" x14ac:dyDescent="0.25">
      <c r="A46" s="9"/>
      <c r="D46" s="10" t="str">
        <f>IF(OR(A46="",B46=""),"",A46&amp;" - "&amp;B46)</f>
        <v/>
      </c>
      <c r="F46" s="9"/>
      <c r="H46" s="10" t="str">
        <f>IF(OR(F46="",G46=""),"",F46&amp;" - "&amp;G46)</f>
        <v/>
      </c>
      <c r="J46" s="9"/>
    </row>
    <row r="47" spans="1:10" x14ac:dyDescent="0.25">
      <c r="A47" s="9"/>
      <c r="D47" s="10" t="str">
        <f>IF(OR(A47="",B47=""),"",A47&amp;" - "&amp;B47)</f>
        <v/>
      </c>
      <c r="F47" s="9"/>
      <c r="H47" s="10" t="str">
        <f>IF(OR(F47="",G47=""),"",F47&amp;" - "&amp;G47)</f>
        <v/>
      </c>
      <c r="J47" s="9"/>
    </row>
    <row r="48" spans="1:10" x14ac:dyDescent="0.25">
      <c r="A48" s="9"/>
      <c r="D48" s="10" t="str">
        <f>IF(OR(A48="",B48=""),"",A48&amp;" - "&amp;B48)</f>
        <v/>
      </c>
      <c r="F48" s="9"/>
      <c r="H48" s="10" t="str">
        <f>IF(OR(F48="",G48=""),"",F48&amp;" - "&amp;G48)</f>
        <v/>
      </c>
      <c r="J48" s="9"/>
    </row>
    <row r="49" spans="1:10" x14ac:dyDescent="0.25">
      <c r="A49" s="9"/>
      <c r="D49" s="10" t="str">
        <f>IF(OR(A49="",B49=""),"",A49&amp;" - "&amp;B49)</f>
        <v/>
      </c>
      <c r="F49" s="9"/>
      <c r="H49" s="10" t="str">
        <f>IF(OR(F49="",G49=""),"",F49&amp;" - "&amp;G49)</f>
        <v/>
      </c>
      <c r="J49" s="9"/>
    </row>
    <row r="50" spans="1:10" x14ac:dyDescent="0.25">
      <c r="A50" s="9"/>
      <c r="D50" s="10" t="str">
        <f>IF(OR(A50="",B50=""),"",A50&amp;" - "&amp;B50)</f>
        <v/>
      </c>
      <c r="F50" s="9"/>
      <c r="H50" s="10" t="str">
        <f>IF(OR(F50="",G50=""),"",F50&amp;" - "&amp;G50)</f>
        <v/>
      </c>
      <c r="J50" s="9"/>
    </row>
    <row r="51" spans="1:10" x14ac:dyDescent="0.25">
      <c r="A51" s="9"/>
      <c r="D51" s="10" t="str">
        <f>IF(OR(A51="",B51=""),"",A51&amp;" - "&amp;B51)</f>
        <v/>
      </c>
      <c r="F51" s="9"/>
      <c r="H51" s="10" t="str">
        <f>IF(OR(F51="",G51=""),"",F51&amp;" - "&amp;G51)</f>
        <v/>
      </c>
      <c r="J51" s="9"/>
    </row>
    <row r="52" spans="1:10" x14ac:dyDescent="0.25">
      <c r="A52" s="9"/>
      <c r="D52" s="10" t="str">
        <f>IF(OR(A52="",B52=""),"",A52&amp;" - "&amp;B52)</f>
        <v/>
      </c>
      <c r="F52" s="9"/>
      <c r="H52" s="10" t="str">
        <f>IF(OR(F52="",G52=""),"",F52&amp;" - "&amp;G52)</f>
        <v/>
      </c>
      <c r="J52" s="9"/>
    </row>
    <row r="53" spans="1:10" x14ac:dyDescent="0.25">
      <c r="A53" s="9"/>
      <c r="D53" s="10" t="str">
        <f>IF(OR(A53="",B53=""),"",A53&amp;" - "&amp;B53)</f>
        <v/>
      </c>
      <c r="F53" s="9"/>
      <c r="H53" s="10" t="str">
        <f>IF(OR(F53="",G53=""),"",F53&amp;" - "&amp;G53)</f>
        <v/>
      </c>
      <c r="J53" s="9"/>
    </row>
    <row r="54" spans="1:10" x14ac:dyDescent="0.25">
      <c r="A54" s="9"/>
      <c r="D54" s="10" t="str">
        <f>IF(OR(A54="",B54=""),"",A54&amp;" - "&amp;B54)</f>
        <v/>
      </c>
      <c r="F54" s="9"/>
      <c r="H54" s="10" t="str">
        <f>IF(OR(F54="",G54=""),"",F54&amp;" - "&amp;G54)</f>
        <v/>
      </c>
      <c r="J54" s="9"/>
    </row>
    <row r="55" spans="1:10" x14ac:dyDescent="0.25">
      <c r="A55" s="9"/>
      <c r="D55" s="10" t="str">
        <f>IF(OR(A55="",B55=""),"",A55&amp;" - "&amp;B55)</f>
        <v/>
      </c>
      <c r="F55" s="9"/>
      <c r="H55" s="10" t="str">
        <f>IF(OR(F55="",G55=""),"",F55&amp;" - "&amp;G55)</f>
        <v/>
      </c>
      <c r="J55" s="9"/>
    </row>
    <row r="56" spans="1:10" x14ac:dyDescent="0.25">
      <c r="A56" s="9"/>
      <c r="D56" s="10" t="str">
        <f>IF(OR(A56="",B56=""),"",A56&amp;" - "&amp;B56)</f>
        <v/>
      </c>
      <c r="F56" s="9"/>
      <c r="H56" s="10" t="str">
        <f>IF(OR(F56="",G56=""),"",F56&amp;" - "&amp;G56)</f>
        <v/>
      </c>
      <c r="J56" s="9"/>
    </row>
    <row r="57" spans="1:10" x14ac:dyDescent="0.25">
      <c r="A57" s="9"/>
      <c r="D57" s="10" t="str">
        <f>IF(OR(A57="",B57=""),"",A57&amp;" - "&amp;B57)</f>
        <v/>
      </c>
      <c r="F57" s="9"/>
      <c r="H57" s="10" t="str">
        <f>IF(OR(F57="",G57=""),"",F57&amp;" - "&amp;G57)</f>
        <v/>
      </c>
      <c r="J57" s="9"/>
    </row>
    <row r="58" spans="1:10" x14ac:dyDescent="0.25">
      <c r="A58" s="9"/>
      <c r="D58" s="10" t="str">
        <f>IF(OR(A58="",B58=""),"",A58&amp;" - "&amp;B58)</f>
        <v/>
      </c>
      <c r="F58" s="9"/>
      <c r="H58" s="10" t="str">
        <f>IF(OR(F58="",G58=""),"",F58&amp;" - "&amp;G58)</f>
        <v/>
      </c>
      <c r="J58" s="9"/>
    </row>
    <row r="59" spans="1:10" x14ac:dyDescent="0.25">
      <c r="A59" s="9"/>
      <c r="D59" s="10" t="str">
        <f>IF(OR(A59="",B59=""),"",A59&amp;" - "&amp;B59)</f>
        <v/>
      </c>
      <c r="F59" s="9"/>
      <c r="H59" s="10" t="str">
        <f>IF(OR(F59="",G59=""),"",F59&amp;" - "&amp;G59)</f>
        <v/>
      </c>
      <c r="J59" s="9"/>
    </row>
    <row r="60" spans="1:10" x14ac:dyDescent="0.25">
      <c r="A60" s="9"/>
      <c r="D60" s="10" t="str">
        <f>IF(OR(A60="",B60=""),"",A60&amp;" - "&amp;B60)</f>
        <v/>
      </c>
      <c r="F60" s="9"/>
      <c r="H60" s="10" t="str">
        <f>IF(OR(F60="",G60=""),"",F60&amp;" - "&amp;G60)</f>
        <v/>
      </c>
      <c r="J60" s="9"/>
    </row>
    <row r="61" spans="1:10" x14ac:dyDescent="0.25">
      <c r="A61" s="9"/>
      <c r="D61" s="10" t="str">
        <f>IF(OR(A61="",B61=""),"",A61&amp;" - "&amp;B61)</f>
        <v/>
      </c>
      <c r="F61" s="9"/>
      <c r="H61" s="10" t="str">
        <f>IF(OR(F61="",G61=""),"",F61&amp;" - "&amp;G61)</f>
        <v/>
      </c>
      <c r="J61" s="9"/>
    </row>
    <row r="62" spans="1:10" x14ac:dyDescent="0.25">
      <c r="A62" s="9"/>
      <c r="D62" s="10" t="str">
        <f>IF(OR(A62="",B62=""),"",A62&amp;" - "&amp;B62)</f>
        <v/>
      </c>
      <c r="F62" s="9"/>
      <c r="H62" s="10" t="str">
        <f>IF(OR(F62="",G62=""),"",F62&amp;" - "&amp;G62)</f>
        <v/>
      </c>
      <c r="J62" s="9"/>
    </row>
    <row r="63" spans="1:10" x14ac:dyDescent="0.25">
      <c r="A63" s="9"/>
      <c r="D63" s="10" t="str">
        <f>IF(OR(A63="",B63=""),"",A63&amp;" - "&amp;B63)</f>
        <v/>
      </c>
      <c r="F63" s="9"/>
      <c r="H63" s="10" t="str">
        <f>IF(OR(F63="",G63=""),"",F63&amp;" - "&amp;G63)</f>
        <v/>
      </c>
      <c r="J63" s="9"/>
    </row>
    <row r="64" spans="1:10" x14ac:dyDescent="0.25">
      <c r="A64" s="9"/>
      <c r="D64" s="10" t="str">
        <f>IF(OR(A64="",B64=""),"",A64&amp;" - "&amp;B64)</f>
        <v/>
      </c>
      <c r="F64" s="9"/>
      <c r="H64" s="10" t="str">
        <f>IF(OR(F64="",G64=""),"",F64&amp;" - "&amp;G64)</f>
        <v/>
      </c>
      <c r="J64" s="9"/>
    </row>
    <row r="65" spans="1:10" x14ac:dyDescent="0.25">
      <c r="A65" s="9"/>
      <c r="D65" s="10" t="str">
        <f>IF(OR(A65="",B65=""),"",A65&amp;" - "&amp;B65)</f>
        <v/>
      </c>
      <c r="F65" s="9"/>
      <c r="H65" s="10" t="str">
        <f>IF(OR(F65="",G65=""),"",F65&amp;" - "&amp;G65)</f>
        <v/>
      </c>
      <c r="J65" s="9"/>
    </row>
    <row r="66" spans="1:10" x14ac:dyDescent="0.25">
      <c r="A66" s="9"/>
      <c r="D66" s="10" t="str">
        <f>IF(OR(A66="",B66=""),"",A66&amp;" - "&amp;B66)</f>
        <v/>
      </c>
      <c r="F66" s="9"/>
      <c r="H66" s="10" t="str">
        <f>IF(OR(F66="",G66=""),"",F66&amp;" - "&amp;G66)</f>
        <v/>
      </c>
      <c r="J66" s="9"/>
    </row>
    <row r="67" spans="1:10" x14ac:dyDescent="0.25">
      <c r="A67" s="9"/>
      <c r="D67" s="10" t="str">
        <f>IF(OR(A67="",B67=""),"",A67&amp;" - "&amp;B67)</f>
        <v/>
      </c>
      <c r="F67" s="9"/>
      <c r="H67" s="10" t="str">
        <f>IF(OR(F67="",G67=""),"",F67&amp;" - "&amp;G67)</f>
        <v/>
      </c>
      <c r="J67" s="9"/>
    </row>
    <row r="68" spans="1:10" x14ac:dyDescent="0.25">
      <c r="A68" s="9"/>
      <c r="D68" s="10" t="str">
        <f>IF(OR(A68="",B68=""),"",A68&amp;" - "&amp;B68)</f>
        <v/>
      </c>
      <c r="F68" s="9"/>
      <c r="H68" s="10" t="str">
        <f>IF(OR(F68="",G68=""),"",F68&amp;" - "&amp;G68)</f>
        <v/>
      </c>
      <c r="J68" s="9"/>
    </row>
    <row r="69" spans="1:10" x14ac:dyDescent="0.25">
      <c r="A69" s="9"/>
      <c r="D69" s="10" t="str">
        <f>IF(OR(A69="",B69=""),"",A69&amp;" - "&amp;B69)</f>
        <v/>
      </c>
      <c r="F69" s="9"/>
      <c r="H69" s="10" t="str">
        <f>IF(OR(F69="",G69=""),"",F69&amp;" - "&amp;G69)</f>
        <v/>
      </c>
      <c r="J69" s="9"/>
    </row>
    <row r="70" spans="1:10" x14ac:dyDescent="0.25">
      <c r="A70" s="9"/>
      <c r="D70" s="10" t="str">
        <f>IF(OR(A70="",B70=""),"",A70&amp;" - "&amp;B70)</f>
        <v/>
      </c>
      <c r="F70" s="9"/>
      <c r="H70" s="10" t="str">
        <f>IF(OR(F70="",G70=""),"",F70&amp;" - "&amp;G70)</f>
        <v/>
      </c>
      <c r="J70" s="9"/>
    </row>
    <row r="71" spans="1:10" x14ac:dyDescent="0.25">
      <c r="A71" s="9"/>
      <c r="D71" s="10" t="str">
        <f>IF(OR(A71="",B71=""),"",A71&amp;" - "&amp;B71)</f>
        <v/>
      </c>
      <c r="F71" s="9"/>
      <c r="H71" s="10" t="str">
        <f>IF(OR(F71="",G71=""),"",F71&amp;" - "&amp;G71)</f>
        <v/>
      </c>
      <c r="J71" s="9"/>
    </row>
    <row r="72" spans="1:10" x14ac:dyDescent="0.25">
      <c r="A72" s="9"/>
      <c r="D72" s="10" t="str">
        <f>IF(OR(A72="",B72=""),"",A72&amp;" - "&amp;B72)</f>
        <v/>
      </c>
      <c r="F72" s="9"/>
      <c r="H72" s="10" t="str">
        <f>IF(OR(F72="",G72=""),"",F72&amp;" - "&amp;G72)</f>
        <v/>
      </c>
      <c r="J72" s="9"/>
    </row>
    <row r="73" spans="1:10" x14ac:dyDescent="0.25">
      <c r="A73" s="9"/>
      <c r="D73" s="10" t="str">
        <f>IF(OR(A73="",B73=""),"",A73&amp;" - "&amp;B73)</f>
        <v/>
      </c>
      <c r="F73" s="9"/>
      <c r="H73" s="10" t="str">
        <f>IF(OR(F73="",G73=""),"",F73&amp;" - "&amp;G73)</f>
        <v/>
      </c>
      <c r="J73" s="9"/>
    </row>
    <row r="74" spans="1:10" x14ac:dyDescent="0.25">
      <c r="A74" s="9"/>
      <c r="D74" s="10" t="str">
        <f>IF(OR(A74="",B74=""),"",A74&amp;" - "&amp;B74)</f>
        <v/>
      </c>
      <c r="F74" s="9"/>
      <c r="H74" s="10" t="str">
        <f>IF(OR(F74="",G74=""),"",F74&amp;" - "&amp;G74)</f>
        <v/>
      </c>
      <c r="J74" s="9"/>
    </row>
    <row r="75" spans="1:10" x14ac:dyDescent="0.25">
      <c r="A75" s="9"/>
      <c r="D75" s="10" t="str">
        <f>IF(OR(A75="",B75=""),"",A75&amp;" - "&amp;B75)</f>
        <v/>
      </c>
      <c r="F75" s="9"/>
      <c r="H75" s="10" t="str">
        <f>IF(OR(F75="",G75=""),"",F75&amp;" - "&amp;G75)</f>
        <v/>
      </c>
      <c r="J75" s="9"/>
    </row>
    <row r="76" spans="1:10" x14ac:dyDescent="0.25">
      <c r="A76" s="9"/>
      <c r="D76" s="10" t="str">
        <f>IF(OR(A76="",B76=""),"",A76&amp;" - "&amp;B76)</f>
        <v/>
      </c>
      <c r="F76" s="9"/>
      <c r="H76" s="10" t="str">
        <f>IF(OR(F76="",G76=""),"",F76&amp;" - "&amp;G76)</f>
        <v/>
      </c>
      <c r="J76" s="9"/>
    </row>
    <row r="77" spans="1:10" x14ac:dyDescent="0.25">
      <c r="A77" s="9"/>
      <c r="D77" s="10" t="str">
        <f>IF(OR(A77="",B77=""),"",A77&amp;" - "&amp;B77)</f>
        <v/>
      </c>
      <c r="F77" s="9"/>
      <c r="H77" s="10" t="str">
        <f>IF(OR(F77="",G77=""),"",F77&amp;" - "&amp;G77)</f>
        <v/>
      </c>
      <c r="J77" s="9"/>
    </row>
    <row r="78" spans="1:10" x14ac:dyDescent="0.25">
      <c r="A78" s="9"/>
      <c r="D78" s="10" t="str">
        <f>IF(OR(A78="",B78=""),"",A78&amp;" - "&amp;B78)</f>
        <v/>
      </c>
      <c r="F78" s="9"/>
      <c r="H78" s="10" t="str">
        <f>IF(OR(F78="",G78=""),"",F78&amp;" - "&amp;G78)</f>
        <v/>
      </c>
      <c r="J78" s="9"/>
    </row>
    <row r="79" spans="1:10" x14ac:dyDescent="0.25">
      <c r="A79" s="9"/>
      <c r="D79" s="10" t="str">
        <f>IF(OR(A79="",B79=""),"",A79&amp;" - "&amp;B79)</f>
        <v/>
      </c>
      <c r="F79" s="9"/>
      <c r="H79" s="10" t="str">
        <f>IF(OR(F79="",G79=""),"",F79&amp;" - "&amp;G79)</f>
        <v/>
      </c>
      <c r="J79" s="9"/>
    </row>
    <row r="80" spans="1:10" x14ac:dyDescent="0.25">
      <c r="A80" s="9"/>
      <c r="D80" s="10" t="str">
        <f>IF(OR(A80="",B80=""),"",A80&amp;" - "&amp;B80)</f>
        <v/>
      </c>
      <c r="F80" s="9"/>
      <c r="H80" s="10" t="str">
        <f>IF(OR(F80="",G80=""),"",F80&amp;" - "&amp;G80)</f>
        <v/>
      </c>
      <c r="J80" s="9"/>
    </row>
    <row r="81" spans="1:10" x14ac:dyDescent="0.25">
      <c r="A81" s="9"/>
      <c r="D81" s="10" t="str">
        <f>IF(OR(A81="",B81=""),"",A81&amp;" - "&amp;B81)</f>
        <v/>
      </c>
      <c r="F81" s="9"/>
      <c r="H81" s="10" t="str">
        <f>IF(OR(F81="",G81=""),"",F81&amp;" - "&amp;G81)</f>
        <v/>
      </c>
      <c r="J81" s="9"/>
    </row>
    <row r="82" spans="1:10" x14ac:dyDescent="0.25">
      <c r="A82" s="9"/>
      <c r="D82" s="10" t="str">
        <f>IF(OR(A82="",B82=""),"",A82&amp;" - "&amp;B82)</f>
        <v/>
      </c>
      <c r="F82" s="9"/>
      <c r="H82" s="10" t="str">
        <f>IF(OR(F82="",G82=""),"",F82&amp;" - "&amp;G82)</f>
        <v/>
      </c>
      <c r="J82" s="9"/>
    </row>
    <row r="83" spans="1:10" x14ac:dyDescent="0.25">
      <c r="A83" s="9"/>
      <c r="D83" s="10" t="str">
        <f>IF(OR(A83="",B83=""),"",A83&amp;" - "&amp;B83)</f>
        <v/>
      </c>
      <c r="F83" s="9"/>
      <c r="H83" s="10" t="str">
        <f>IF(OR(F83="",G83=""),"",F83&amp;" - "&amp;G83)</f>
        <v/>
      </c>
      <c r="J83" s="9"/>
    </row>
    <row r="84" spans="1:10" x14ac:dyDescent="0.25">
      <c r="A84" s="9"/>
      <c r="D84" s="10" t="str">
        <f>IF(OR(A84="",B84=""),"",A84&amp;" - "&amp;B84)</f>
        <v/>
      </c>
      <c r="F84" s="9"/>
      <c r="H84" s="10" t="str">
        <f>IF(OR(F84="",G84=""),"",F84&amp;" - "&amp;G84)</f>
        <v/>
      </c>
      <c r="J84" s="9"/>
    </row>
    <row r="85" spans="1:10" x14ac:dyDescent="0.25">
      <c r="A85" s="9"/>
      <c r="D85" s="10" t="str">
        <f>IF(OR(A85="",B85=""),"",A85&amp;" - "&amp;B85)</f>
        <v/>
      </c>
      <c r="F85" s="9"/>
      <c r="H85" s="10" t="str">
        <f>IF(OR(F85="",G85=""),"",F85&amp;" - "&amp;G85)</f>
        <v/>
      </c>
      <c r="J85" s="9"/>
    </row>
    <row r="86" spans="1:10" x14ac:dyDescent="0.25">
      <c r="A86" s="9"/>
      <c r="D86" s="10" t="str">
        <f>IF(OR(A86="",B86=""),"",A86&amp;" - "&amp;B86)</f>
        <v/>
      </c>
      <c r="F86" s="9"/>
      <c r="H86" s="10" t="str">
        <f>IF(OR(F86="",G86=""),"",F86&amp;" - "&amp;G86)</f>
        <v/>
      </c>
      <c r="J86" s="9"/>
    </row>
    <row r="87" spans="1:10" x14ac:dyDescent="0.25">
      <c r="A87" s="9"/>
      <c r="D87" s="10" t="str">
        <f>IF(OR(A87="",B87=""),"",A87&amp;" - "&amp;B87)</f>
        <v/>
      </c>
      <c r="F87" s="9"/>
      <c r="H87" s="10" t="str">
        <f>IF(OR(F87="",G87=""),"",F87&amp;" - "&amp;G87)</f>
        <v/>
      </c>
      <c r="J87" s="9"/>
    </row>
    <row r="88" spans="1:10" x14ac:dyDescent="0.25">
      <c r="A88" s="9"/>
      <c r="D88" s="10" t="str">
        <f>IF(OR(A88="",B88=""),"",A88&amp;" - "&amp;B88)</f>
        <v/>
      </c>
      <c r="F88" s="9"/>
      <c r="H88" s="10" t="str">
        <f>IF(OR(F88="",G88=""),"",F88&amp;" - "&amp;G88)</f>
        <v/>
      </c>
      <c r="J88" s="9"/>
    </row>
    <row r="89" spans="1:10" x14ac:dyDescent="0.25">
      <c r="A89" s="9"/>
      <c r="D89" s="10" t="str">
        <f>IF(OR(A89="",B89=""),"",A89&amp;" - "&amp;B89)</f>
        <v/>
      </c>
      <c r="F89" s="9"/>
      <c r="H89" s="10" t="str">
        <f>IF(OR(F89="",G89=""),"",F89&amp;" - "&amp;G89)</f>
        <v/>
      </c>
      <c r="J89" s="9"/>
    </row>
    <row r="90" spans="1:10" x14ac:dyDescent="0.25">
      <c r="A90" s="9"/>
      <c r="D90" s="10" t="str">
        <f>IF(OR(A90="",B90=""),"",A90&amp;" - "&amp;B90)</f>
        <v/>
      </c>
      <c r="F90" s="9"/>
      <c r="H90" s="10" t="str">
        <f>IF(OR(F90="",G90=""),"",F90&amp;" - "&amp;G90)</f>
        <v/>
      </c>
      <c r="J90" s="9"/>
    </row>
    <row r="91" spans="1:10" x14ac:dyDescent="0.25">
      <c r="A91" s="9"/>
      <c r="D91" s="10" t="str">
        <f>IF(OR(A91="",B91=""),"",A91&amp;" - "&amp;B91)</f>
        <v/>
      </c>
      <c r="F91" s="9"/>
      <c r="H91" s="10" t="str">
        <f>IF(OR(F91="",G91=""),"",F91&amp;" - "&amp;G91)</f>
        <v/>
      </c>
      <c r="J91" s="9"/>
    </row>
    <row r="92" spans="1:10" x14ac:dyDescent="0.25">
      <c r="A92" s="9"/>
      <c r="D92" s="10" t="str">
        <f>IF(OR(A92="",B92=""),"",A92&amp;" - "&amp;B92)</f>
        <v/>
      </c>
      <c r="F92" s="9"/>
      <c r="H92" s="10" t="str">
        <f>IF(OR(F92="",G92=""),"",F92&amp;" - "&amp;G92)</f>
        <v/>
      </c>
      <c r="J92" s="9"/>
    </row>
    <row r="93" spans="1:10" x14ac:dyDescent="0.25">
      <c r="A93" s="9"/>
      <c r="D93" s="10" t="str">
        <f>IF(OR(A93="",B93=""),"",A93&amp;" - "&amp;B93)</f>
        <v/>
      </c>
      <c r="F93" s="9"/>
      <c r="H93" s="10" t="str">
        <f>IF(OR(F93="",G93=""),"",F93&amp;" - "&amp;G93)</f>
        <v/>
      </c>
      <c r="J93" s="9"/>
    </row>
    <row r="94" spans="1:10" x14ac:dyDescent="0.25">
      <c r="A94" s="9"/>
      <c r="D94" s="10" t="str">
        <f>IF(OR(A94="",B94=""),"",A94&amp;" - "&amp;B94)</f>
        <v/>
      </c>
      <c r="F94" s="9"/>
      <c r="H94" s="10" t="str">
        <f>IF(OR(F94="",G94=""),"",F94&amp;" - "&amp;G94)</f>
        <v/>
      </c>
      <c r="J94" s="9"/>
    </row>
    <row r="95" spans="1:10" x14ac:dyDescent="0.25">
      <c r="A95" s="9"/>
      <c r="D95" s="10" t="str">
        <f>IF(OR(A95="",B95=""),"",A95&amp;" - "&amp;B95)</f>
        <v/>
      </c>
      <c r="F95" s="9"/>
      <c r="H95" s="10" t="str">
        <f>IF(OR(F95="",G95=""),"",F95&amp;" - "&amp;G95)</f>
        <v/>
      </c>
      <c r="J95" s="9"/>
    </row>
    <row r="96" spans="1:10" x14ac:dyDescent="0.25">
      <c r="A96" s="9"/>
      <c r="D96" s="10" t="str">
        <f>IF(OR(A96="",B96=""),"",A96&amp;" - "&amp;B96)</f>
        <v/>
      </c>
      <c r="F96" s="9"/>
      <c r="H96" s="10" t="str">
        <f>IF(OR(F96="",G96=""),"",F96&amp;" - "&amp;G96)</f>
        <v/>
      </c>
      <c r="J96" s="9"/>
    </row>
    <row r="97" spans="1:10" x14ac:dyDescent="0.25">
      <c r="A97" s="9"/>
      <c r="D97" s="10" t="str">
        <f>IF(OR(A97="",B97=""),"",A97&amp;" - "&amp;B97)</f>
        <v/>
      </c>
      <c r="F97" s="9"/>
      <c r="H97" s="10" t="str">
        <f>IF(OR(F97="",G97=""),"",F97&amp;" - "&amp;G97)</f>
        <v/>
      </c>
      <c r="J97" s="9"/>
    </row>
    <row r="98" spans="1:10" x14ac:dyDescent="0.25">
      <c r="A98" s="9"/>
      <c r="D98" s="10" t="str">
        <f>IF(OR(A98="",B98=""),"",A98&amp;" - "&amp;B98)</f>
        <v/>
      </c>
      <c r="F98" s="9"/>
      <c r="H98" s="10" t="str">
        <f>IF(OR(F98="",G98=""),"",F98&amp;" - "&amp;G98)</f>
        <v/>
      </c>
      <c r="J98" s="9"/>
    </row>
    <row r="99" spans="1:10" x14ac:dyDescent="0.25">
      <c r="A99" s="9"/>
      <c r="D99" s="10" t="str">
        <f>IF(OR(A99="",B99=""),"",A99&amp;" - "&amp;B99)</f>
        <v/>
      </c>
      <c r="F99" s="9"/>
      <c r="H99" s="10" t="str">
        <f>IF(OR(F99="",G99=""),"",F99&amp;" - "&amp;G99)</f>
        <v/>
      </c>
      <c r="J99" s="9"/>
    </row>
    <row r="100" spans="1:10" x14ac:dyDescent="0.25">
      <c r="A100" s="9"/>
      <c r="D100" s="10" t="str">
        <f>IF(OR(A100="",B100=""),"",A100&amp;" - "&amp;B100)</f>
        <v/>
      </c>
      <c r="F100" s="9"/>
      <c r="H100" s="10" t="str">
        <f>IF(OR(F100="",G100=""),"",F100&amp;" - "&amp;G100)</f>
        <v/>
      </c>
      <c r="J100" s="9"/>
    </row>
    <row r="101" spans="1:10" x14ac:dyDescent="0.25">
      <c r="A101" s="9"/>
      <c r="D101" s="10" t="str">
        <f>IF(OR(A101="",B101=""),"",A101&amp;" - "&amp;B101)</f>
        <v/>
      </c>
      <c r="F101" s="9"/>
      <c r="H101" s="10" t="str">
        <f>IF(OR(F101="",G101=""),"",F101&amp;" - "&amp;G101)</f>
        <v/>
      </c>
      <c r="J101" s="9"/>
    </row>
    <row r="102" spans="1:10" x14ac:dyDescent="0.25">
      <c r="A102" s="9"/>
      <c r="D102" s="10" t="str">
        <f>IF(OR(A102="",B102=""),"",A102&amp;" - "&amp;B102)</f>
        <v/>
      </c>
      <c r="F102" s="9"/>
      <c r="H102" s="10" t="str">
        <f>IF(OR(F102="",G102=""),"",F102&amp;" - "&amp;G102)</f>
        <v/>
      </c>
      <c r="J102" s="9"/>
    </row>
    <row r="103" spans="1:10" x14ac:dyDescent="0.25">
      <c r="A103" s="9"/>
      <c r="D103" s="10" t="str">
        <f>IF(OR(A103="",B103=""),"",A103&amp;" - "&amp;B103)</f>
        <v/>
      </c>
      <c r="F103" s="9"/>
      <c r="H103" s="10" t="str">
        <f>IF(OR(F103="",G103=""),"",F103&amp;" - "&amp;G103)</f>
        <v/>
      </c>
      <c r="J103" s="9"/>
    </row>
    <row r="104" spans="1:10" x14ac:dyDescent="0.25">
      <c r="A104" s="9"/>
      <c r="D104" s="10" t="str">
        <f>IF(OR(A104="",B104=""),"",A104&amp;" - "&amp;B104)</f>
        <v/>
      </c>
      <c r="F104" s="9"/>
      <c r="H104" s="10" t="str">
        <f>IF(OR(F104="",G104=""),"",F104&amp;" - "&amp;G104)</f>
        <v/>
      </c>
      <c r="J104" s="9"/>
    </row>
    <row r="105" spans="1:10" x14ac:dyDescent="0.25">
      <c r="A105" s="9"/>
      <c r="D105" s="10" t="str">
        <f>IF(OR(A105="",B105=""),"",A105&amp;" - "&amp;B105)</f>
        <v/>
      </c>
      <c r="F105" s="9"/>
      <c r="H105" s="10" t="str">
        <f>IF(OR(F105="",G105=""),"",F105&amp;" - "&amp;G105)</f>
        <v/>
      </c>
      <c r="J105" s="9"/>
    </row>
    <row r="106" spans="1:10" x14ac:dyDescent="0.25">
      <c r="A106" s="9"/>
      <c r="D106" s="10" t="str">
        <f>IF(OR(A106="",B106=""),"",A106&amp;" - "&amp;B106)</f>
        <v/>
      </c>
      <c r="F106" s="9"/>
      <c r="H106" s="10" t="str">
        <f>IF(OR(F106="",G106=""),"",F106&amp;" - "&amp;G106)</f>
        <v/>
      </c>
      <c r="J106" s="9"/>
    </row>
    <row r="107" spans="1:10" x14ac:dyDescent="0.25">
      <c r="A107" s="9"/>
      <c r="D107" s="10" t="str">
        <f>IF(OR(A107="",B107=""),"",A107&amp;" - "&amp;B107)</f>
        <v/>
      </c>
      <c r="F107" s="9"/>
      <c r="H107" s="10" t="str">
        <f>IF(OR(F107="",G107=""),"",F107&amp;" - "&amp;G107)</f>
        <v/>
      </c>
      <c r="J107" s="9"/>
    </row>
    <row r="108" spans="1:10" x14ac:dyDescent="0.25">
      <c r="A108" s="9"/>
      <c r="D108" s="10" t="str">
        <f>IF(OR(A108="",B108=""),"",A108&amp;" - "&amp;B108)</f>
        <v/>
      </c>
      <c r="F108" s="9"/>
      <c r="H108" s="10" t="str">
        <f>IF(OR(F108="",G108=""),"",F108&amp;" - "&amp;G108)</f>
        <v/>
      </c>
      <c r="J108" s="9"/>
    </row>
    <row r="109" spans="1:10" x14ac:dyDescent="0.25">
      <c r="A109" s="9"/>
      <c r="D109" s="10" t="str">
        <f>IF(OR(A109="",B109=""),"",A109&amp;" - "&amp;B109)</f>
        <v/>
      </c>
      <c r="F109" s="9"/>
      <c r="H109" s="10" t="str">
        <f>IF(OR(F109="",G109=""),"",F109&amp;" - "&amp;G109)</f>
        <v/>
      </c>
      <c r="J109" s="9"/>
    </row>
    <row r="110" spans="1:10" x14ac:dyDescent="0.25">
      <c r="A110" s="9"/>
      <c r="D110" s="10" t="str">
        <f>IF(OR(A110="",B110=""),"",A110&amp;" - "&amp;B110)</f>
        <v/>
      </c>
      <c r="F110" s="9"/>
      <c r="H110" s="10" t="str">
        <f>IF(OR(F110="",G110=""),"",F110&amp;" - "&amp;G110)</f>
        <v/>
      </c>
      <c r="J110" s="9"/>
    </row>
    <row r="111" spans="1:10" x14ac:dyDescent="0.25">
      <c r="A111" s="9"/>
      <c r="D111" s="10" t="str">
        <f>IF(OR(A111="",B111=""),"",A111&amp;" - "&amp;B111)</f>
        <v/>
      </c>
      <c r="F111" s="9"/>
      <c r="H111" s="10" t="str">
        <f>IF(OR(F111="",G111=""),"",F111&amp;" - "&amp;G111)</f>
        <v/>
      </c>
      <c r="J111" s="9"/>
    </row>
    <row r="112" spans="1:10" x14ac:dyDescent="0.25">
      <c r="A112" s="9"/>
      <c r="D112" s="10" t="str">
        <f>IF(OR(A112="",B112=""),"",A112&amp;" - "&amp;B112)</f>
        <v/>
      </c>
      <c r="F112" s="9"/>
      <c r="H112" s="10" t="str">
        <f>IF(OR(F112="",G112=""),"",F112&amp;" - "&amp;G112)</f>
        <v/>
      </c>
      <c r="J112" s="9"/>
    </row>
    <row r="113" spans="1:10" x14ac:dyDescent="0.25">
      <c r="A113" s="9"/>
      <c r="D113" s="10" t="str">
        <f>IF(OR(A113="",B113=""),"",A113&amp;" - "&amp;B113)</f>
        <v/>
      </c>
      <c r="F113" s="9"/>
      <c r="H113" s="10" t="str">
        <f>IF(OR(F113="",G113=""),"",F113&amp;" - "&amp;G113)</f>
        <v/>
      </c>
      <c r="J113" s="9"/>
    </row>
    <row r="114" spans="1:10" x14ac:dyDescent="0.25">
      <c r="A114" s="9"/>
      <c r="D114" s="10" t="str">
        <f>IF(OR(A114="",B114=""),"",A114&amp;" - "&amp;B114)</f>
        <v/>
      </c>
      <c r="F114" s="9"/>
      <c r="H114" s="10" t="str">
        <f>IF(OR(F114="",G114=""),"",F114&amp;" - "&amp;G114)</f>
        <v/>
      </c>
      <c r="J114" s="9"/>
    </row>
    <row r="115" spans="1:10" x14ac:dyDescent="0.25">
      <c r="A115" s="9"/>
      <c r="D115" s="10" t="str">
        <f>IF(OR(A115="",B115=""),"",A115&amp;" - "&amp;B115)</f>
        <v/>
      </c>
      <c r="F115" s="9"/>
      <c r="H115" s="10" t="str">
        <f>IF(OR(F115="",G115=""),"",F115&amp;" - "&amp;G115)</f>
        <v/>
      </c>
      <c r="J115" s="9"/>
    </row>
    <row r="116" spans="1:10" x14ac:dyDescent="0.25">
      <c r="A116" s="9"/>
      <c r="D116" s="10" t="str">
        <f>IF(OR(A116="",B116=""),"",A116&amp;" - "&amp;B116)</f>
        <v/>
      </c>
      <c r="F116" s="9"/>
      <c r="H116" s="10" t="str">
        <f>IF(OR(F116="",G116=""),"",F116&amp;" - "&amp;G116)</f>
        <v/>
      </c>
      <c r="J116" s="9"/>
    </row>
    <row r="117" spans="1:10" x14ac:dyDescent="0.25">
      <c r="A117" s="9"/>
      <c r="D117" s="10" t="str">
        <f>IF(OR(A117="",B117=""),"",A117&amp;" - "&amp;B117)</f>
        <v/>
      </c>
      <c r="F117" s="9"/>
      <c r="H117" s="10" t="str">
        <f>IF(OR(F117="",G117=""),"",F117&amp;" - "&amp;G117)</f>
        <v/>
      </c>
      <c r="J117" s="9"/>
    </row>
    <row r="118" spans="1:10" x14ac:dyDescent="0.25">
      <c r="A118" s="9"/>
      <c r="D118" s="10" t="str">
        <f>IF(OR(A118="",B118=""),"",A118&amp;" - "&amp;B118)</f>
        <v/>
      </c>
      <c r="F118" s="9"/>
      <c r="H118" s="10" t="str">
        <f>IF(OR(F118="",G118=""),"",F118&amp;" - "&amp;G118)</f>
        <v/>
      </c>
      <c r="J118" s="9"/>
    </row>
    <row r="119" spans="1:10" x14ac:dyDescent="0.25">
      <c r="A119" s="9"/>
      <c r="D119" s="10" t="str">
        <f>IF(OR(A119="",B119=""),"",A119&amp;" - "&amp;B119)</f>
        <v/>
      </c>
      <c r="F119" s="9"/>
      <c r="H119" s="10" t="str">
        <f>IF(OR(F119="",G119=""),"",F119&amp;" - "&amp;G119)</f>
        <v/>
      </c>
      <c r="J119" s="9"/>
    </row>
    <row r="120" spans="1:10" x14ac:dyDescent="0.25">
      <c r="A120" s="9"/>
      <c r="D120" s="10" t="str">
        <f>IF(OR(A120="",B120=""),"",A120&amp;" - "&amp;B120)</f>
        <v/>
      </c>
      <c r="F120" s="9"/>
      <c r="H120" s="10" t="str">
        <f>IF(OR(F120="",G120=""),"",F120&amp;" - "&amp;G120)</f>
        <v/>
      </c>
      <c r="J120" s="9"/>
    </row>
    <row r="121" spans="1:10" x14ac:dyDescent="0.25">
      <c r="A121" s="9"/>
      <c r="D121" s="10" t="str">
        <f>IF(OR(A121="",B121=""),"",A121&amp;" - "&amp;B121)</f>
        <v/>
      </c>
      <c r="F121" s="9"/>
      <c r="H121" s="10" t="str">
        <f>IF(OR(F121="",G121=""),"",F121&amp;" - "&amp;G121)</f>
        <v/>
      </c>
      <c r="J121" s="9"/>
    </row>
    <row r="122" spans="1:10" x14ac:dyDescent="0.25">
      <c r="A122" s="9"/>
      <c r="D122" s="10" t="str">
        <f>IF(OR(A122="",B122=""),"",A122&amp;" - "&amp;B122)</f>
        <v/>
      </c>
      <c r="F122" s="9"/>
      <c r="H122" s="10" t="str">
        <f>IF(OR(F122="",G122=""),"",F122&amp;" - "&amp;G122)</f>
        <v/>
      </c>
      <c r="J122" s="9"/>
    </row>
    <row r="123" spans="1:10" x14ac:dyDescent="0.25">
      <c r="A123" s="9"/>
      <c r="D123" s="10" t="str">
        <f>IF(OR(A123="",B123=""),"",A123&amp;" - "&amp;B123)</f>
        <v/>
      </c>
      <c r="F123" s="9"/>
      <c r="H123" s="10" t="str">
        <f>IF(OR(F123="",G123=""),"",F123&amp;" - "&amp;G123)</f>
        <v/>
      </c>
      <c r="J123" s="9"/>
    </row>
    <row r="124" spans="1:10" x14ac:dyDescent="0.25">
      <c r="A124" s="9"/>
      <c r="D124" s="10" t="str">
        <f>IF(OR(A124="",B124=""),"",A124&amp;" - "&amp;B124)</f>
        <v/>
      </c>
      <c r="F124" s="9"/>
      <c r="H124" s="10" t="str">
        <f>IF(OR(F124="",G124=""),"",F124&amp;" - "&amp;G124)</f>
        <v/>
      </c>
      <c r="J124" s="9"/>
    </row>
    <row r="125" spans="1:10" x14ac:dyDescent="0.25">
      <c r="A125" s="9"/>
      <c r="D125" s="10" t="str">
        <f>IF(OR(A125="",B125=""),"",A125&amp;" - "&amp;B125)</f>
        <v/>
      </c>
      <c r="F125" s="9"/>
      <c r="H125" s="10" t="str">
        <f>IF(OR(F125="",G125=""),"",F125&amp;" - "&amp;G125)</f>
        <v/>
      </c>
      <c r="J125" s="9"/>
    </row>
    <row r="126" spans="1:10" x14ac:dyDescent="0.25">
      <c r="A126" s="9"/>
      <c r="D126" s="10" t="str">
        <f>IF(OR(A126="",B126=""),"",A126&amp;" - "&amp;B126)</f>
        <v/>
      </c>
      <c r="F126" s="9"/>
      <c r="H126" s="10" t="str">
        <f>IF(OR(F126="",G126=""),"",F126&amp;" - "&amp;G126)</f>
        <v/>
      </c>
      <c r="J126" s="9"/>
    </row>
    <row r="127" spans="1:10" x14ac:dyDescent="0.25">
      <c r="A127" s="9"/>
      <c r="D127" s="10" t="str">
        <f>IF(OR(A127="",B127=""),"",A127&amp;" - "&amp;B127)</f>
        <v/>
      </c>
      <c r="F127" s="9"/>
      <c r="H127" s="10" t="str">
        <f>IF(OR(F127="",G127=""),"",F127&amp;" - "&amp;G127)</f>
        <v/>
      </c>
      <c r="J127" s="9"/>
    </row>
    <row r="128" spans="1:10" x14ac:dyDescent="0.25">
      <c r="A128" s="9"/>
      <c r="D128" s="10" t="str">
        <f>IF(OR(A128="",B128=""),"",A128&amp;" - "&amp;B128)</f>
        <v/>
      </c>
      <c r="F128" s="9"/>
      <c r="H128" s="10" t="str">
        <f>IF(OR(F128="",G128=""),"",F128&amp;" - "&amp;G128)</f>
        <v/>
      </c>
      <c r="J128" s="9"/>
    </row>
    <row r="129" spans="1:10" x14ac:dyDescent="0.25">
      <c r="A129" s="9"/>
      <c r="D129" s="10" t="str">
        <f>IF(OR(A129="",B129=""),"",A129&amp;" - "&amp;B129)</f>
        <v/>
      </c>
      <c r="F129" s="9"/>
      <c r="H129" s="10" t="str">
        <f>IF(OR(F129="",G129=""),"",F129&amp;" - "&amp;G129)</f>
        <v/>
      </c>
      <c r="J129" s="9"/>
    </row>
    <row r="130" spans="1:10" x14ac:dyDescent="0.25">
      <c r="A130" s="9"/>
      <c r="D130" s="10" t="str">
        <f>IF(OR(A130="",B130=""),"",A130&amp;" - "&amp;B130)</f>
        <v/>
      </c>
      <c r="F130" s="9"/>
      <c r="H130" s="10" t="str">
        <f>IF(OR(F130="",G130=""),"",F130&amp;" - "&amp;G130)</f>
        <v/>
      </c>
      <c r="J130" s="9"/>
    </row>
    <row r="131" spans="1:10" x14ac:dyDescent="0.25">
      <c r="A131" s="9"/>
      <c r="D131" s="10" t="str">
        <f>IF(OR(A131="",B131=""),"",A131&amp;" - "&amp;B131)</f>
        <v/>
      </c>
      <c r="F131" s="9"/>
      <c r="H131" s="10" t="str">
        <f>IF(OR(F131="",G131=""),"",F131&amp;" - "&amp;G131)</f>
        <v/>
      </c>
      <c r="J131" s="9"/>
    </row>
    <row r="132" spans="1:10" x14ac:dyDescent="0.25">
      <c r="A132" s="9"/>
      <c r="D132" s="10" t="str">
        <f>IF(OR(A132="",B132=""),"",A132&amp;" - "&amp;B132)</f>
        <v/>
      </c>
      <c r="F132" s="9"/>
      <c r="H132" s="10" t="str">
        <f>IF(OR(F132="",G132=""),"",F132&amp;" - "&amp;G132)</f>
        <v/>
      </c>
      <c r="J132" s="9"/>
    </row>
    <row r="133" spans="1:10" x14ac:dyDescent="0.25">
      <c r="A133" s="9"/>
      <c r="D133" s="10" t="str">
        <f>IF(OR(A133="",B133=""),"",A133&amp;" - "&amp;B133)</f>
        <v/>
      </c>
      <c r="F133" s="9"/>
      <c r="H133" s="10" t="str">
        <f>IF(OR(F133="",G133=""),"",F133&amp;" - "&amp;G133)</f>
        <v/>
      </c>
      <c r="J133" s="9"/>
    </row>
    <row r="134" spans="1:10" x14ac:dyDescent="0.25">
      <c r="A134" s="9"/>
      <c r="D134" s="10" t="str">
        <f>IF(OR(A134="",B134=""),"",A134&amp;" - "&amp;B134)</f>
        <v/>
      </c>
      <c r="F134" s="9"/>
      <c r="H134" s="10" t="str">
        <f>IF(OR(F134="",G134=""),"",F134&amp;" - "&amp;G134)</f>
        <v/>
      </c>
      <c r="J134" s="9"/>
    </row>
    <row r="135" spans="1:10" x14ac:dyDescent="0.25">
      <c r="A135" s="9"/>
      <c r="D135" s="10" t="str">
        <f>IF(OR(A135="",B135=""),"",A135&amp;" - "&amp;B135)</f>
        <v/>
      </c>
      <c r="F135" s="9"/>
      <c r="H135" s="10" t="str">
        <f>IF(OR(F135="",G135=""),"",F135&amp;" - "&amp;G135)</f>
        <v/>
      </c>
      <c r="J135" s="9"/>
    </row>
    <row r="136" spans="1:10" x14ac:dyDescent="0.25">
      <c r="A136" s="9"/>
      <c r="D136" s="10" t="str">
        <f>IF(OR(A136="",B136=""),"",A136&amp;" - "&amp;B136)</f>
        <v/>
      </c>
      <c r="F136" s="9"/>
      <c r="H136" s="10" t="str">
        <f>IF(OR(F136="",G136=""),"",F136&amp;" - "&amp;G136)</f>
        <v/>
      </c>
      <c r="J136" s="9"/>
    </row>
    <row r="137" spans="1:10" x14ac:dyDescent="0.25">
      <c r="A137" s="9"/>
      <c r="D137" s="10" t="str">
        <f>IF(OR(A137="",B137=""),"",A137&amp;" - "&amp;B137)</f>
        <v/>
      </c>
      <c r="F137" s="9"/>
      <c r="H137" s="10" t="str">
        <f>IF(OR(F137="",G137=""),"",F137&amp;" - "&amp;G137)</f>
        <v/>
      </c>
      <c r="J137" s="9"/>
    </row>
    <row r="138" spans="1:10" x14ac:dyDescent="0.25">
      <c r="A138" s="9"/>
      <c r="D138" s="10" t="str">
        <f>IF(OR(A138="",B138=""),"",A138&amp;" - "&amp;B138)</f>
        <v/>
      </c>
      <c r="F138" s="9"/>
      <c r="H138" s="10" t="str">
        <f>IF(OR(F138="",G138=""),"",F138&amp;" - "&amp;G138)</f>
        <v/>
      </c>
      <c r="J138" s="9"/>
    </row>
    <row r="139" spans="1:10" x14ac:dyDescent="0.25">
      <c r="A139" s="9"/>
      <c r="D139" s="10" t="str">
        <f>IF(OR(A139="",B139=""),"",A139&amp;" - "&amp;B139)</f>
        <v/>
      </c>
      <c r="F139" s="9"/>
      <c r="H139" s="10" t="str">
        <f>IF(OR(F139="",G139=""),"",F139&amp;" - "&amp;G139)</f>
        <v/>
      </c>
      <c r="J139" s="9"/>
    </row>
    <row r="140" spans="1:10" x14ac:dyDescent="0.25">
      <c r="A140" s="9"/>
      <c r="D140" s="10" t="str">
        <f>IF(OR(A140="",B140=""),"",A140&amp;" - "&amp;B140)</f>
        <v/>
      </c>
      <c r="F140" s="9"/>
      <c r="H140" s="10" t="str">
        <f>IF(OR(F140="",G140=""),"",F140&amp;" - "&amp;G140)</f>
        <v/>
      </c>
      <c r="J140" s="9"/>
    </row>
    <row r="141" spans="1:10" x14ac:dyDescent="0.25">
      <c r="A141" s="9"/>
      <c r="D141" s="10" t="str">
        <f>IF(OR(A141="",B141=""),"",A141&amp;" - "&amp;B141)</f>
        <v/>
      </c>
      <c r="F141" s="9"/>
      <c r="H141" s="10" t="str">
        <f>IF(OR(F141="",G141=""),"",F141&amp;" - "&amp;G141)</f>
        <v/>
      </c>
      <c r="J141" s="9"/>
    </row>
    <row r="142" spans="1:10" x14ac:dyDescent="0.25">
      <c r="A142" s="9"/>
      <c r="D142" s="10" t="str">
        <f>IF(OR(A142="",B142=""),"",A142&amp;" - "&amp;B142)</f>
        <v/>
      </c>
      <c r="F142" s="9"/>
      <c r="H142" s="10" t="str">
        <f>IF(OR(F142="",G142=""),"",F142&amp;" - "&amp;G142)</f>
        <v/>
      </c>
      <c r="J142" s="9"/>
    </row>
    <row r="143" spans="1:10" x14ac:dyDescent="0.25">
      <c r="A143" s="9"/>
      <c r="D143" s="10" t="str">
        <f>IF(OR(A143="",B143=""),"",A143&amp;" - "&amp;B143)</f>
        <v/>
      </c>
      <c r="F143" s="9"/>
      <c r="H143" s="10" t="str">
        <f>IF(OR(F143="",G143=""),"",F143&amp;" - "&amp;G143)</f>
        <v/>
      </c>
      <c r="J143" s="9"/>
    </row>
    <row r="144" spans="1:10" x14ac:dyDescent="0.25">
      <c r="A144" s="9"/>
      <c r="D144" s="10" t="str">
        <f>IF(OR(A144="",B144=""),"",A144&amp;" - "&amp;B144)</f>
        <v/>
      </c>
      <c r="F144" s="9"/>
      <c r="H144" s="10" t="str">
        <f>IF(OR(F144="",G144=""),"",F144&amp;" - "&amp;G144)</f>
        <v/>
      </c>
      <c r="J144" s="9"/>
    </row>
    <row r="145" spans="1:10" x14ac:dyDescent="0.25">
      <c r="A145" s="9"/>
      <c r="D145" s="10" t="str">
        <f>IF(OR(A145="",B145=""),"",A145&amp;" - "&amp;B145)</f>
        <v/>
      </c>
      <c r="F145" s="9"/>
      <c r="H145" s="10" t="str">
        <f>IF(OR(F145="",G145=""),"",F145&amp;" - "&amp;G145)</f>
        <v/>
      </c>
      <c r="J145" s="9"/>
    </row>
    <row r="146" spans="1:10" x14ac:dyDescent="0.25">
      <c r="A146" s="9"/>
      <c r="D146" s="10" t="str">
        <f>IF(OR(A146="",B146=""),"",A146&amp;" - "&amp;B146)</f>
        <v/>
      </c>
      <c r="F146" s="9"/>
      <c r="H146" s="10" t="str">
        <f>IF(OR(F146="",G146=""),"",F146&amp;" - "&amp;G146)</f>
        <v/>
      </c>
      <c r="J146" s="9"/>
    </row>
    <row r="147" spans="1:10" x14ac:dyDescent="0.25">
      <c r="A147" s="9"/>
      <c r="D147" s="10" t="str">
        <f>IF(OR(A147="",B147=""),"",A147&amp;" - "&amp;B147)</f>
        <v/>
      </c>
      <c r="F147" s="9"/>
      <c r="H147" s="10" t="str">
        <f>IF(OR(F147="",G147=""),"",F147&amp;" - "&amp;G147)</f>
        <v/>
      </c>
      <c r="J147" s="9"/>
    </row>
    <row r="148" spans="1:10" x14ac:dyDescent="0.25">
      <c r="A148" s="9"/>
      <c r="D148" s="10" t="str">
        <f>IF(OR(A148="",B148=""),"",A148&amp;" - "&amp;B148)</f>
        <v/>
      </c>
      <c r="F148" s="9"/>
      <c r="H148" s="10" t="str">
        <f>IF(OR(F148="",G148=""),"",F148&amp;" - "&amp;G148)</f>
        <v/>
      </c>
      <c r="J148" s="9"/>
    </row>
    <row r="149" spans="1:10" x14ac:dyDescent="0.25">
      <c r="A149" s="9"/>
      <c r="D149" s="10" t="str">
        <f>IF(OR(A149="",B149=""),"",A149&amp;" - "&amp;B149)</f>
        <v/>
      </c>
      <c r="F149" s="9"/>
      <c r="H149" s="10" t="str">
        <f>IF(OR(F149="",G149=""),"",F149&amp;" - "&amp;G149)</f>
        <v/>
      </c>
      <c r="J149" s="9"/>
    </row>
    <row r="150" spans="1:10" x14ac:dyDescent="0.25">
      <c r="A150" s="9"/>
      <c r="D150" s="10" t="str">
        <f>IF(OR(A150="",B150=""),"",A150&amp;" - "&amp;B150)</f>
        <v/>
      </c>
      <c r="F150" s="9"/>
      <c r="H150" s="10" t="str">
        <f>IF(OR(F150="",G150=""),"",F150&amp;" - "&amp;G150)</f>
        <v/>
      </c>
      <c r="J150" s="9"/>
    </row>
    <row r="151" spans="1:10" x14ac:dyDescent="0.25">
      <c r="A151" s="9"/>
      <c r="D151" s="10" t="str">
        <f>IF(OR(A151="",B151=""),"",A151&amp;" - "&amp;B151)</f>
        <v/>
      </c>
      <c r="F151" s="9"/>
      <c r="H151" s="10" t="str">
        <f>IF(OR(F151="",G151=""),"",F151&amp;" - "&amp;G151)</f>
        <v/>
      </c>
      <c r="J151" s="9"/>
    </row>
    <row r="152" spans="1:10" x14ac:dyDescent="0.25">
      <c r="A152" s="9"/>
      <c r="D152" s="10" t="str">
        <f>IF(OR(A152="",B152=""),"",A152&amp;" - "&amp;B152)</f>
        <v/>
      </c>
      <c r="F152" s="9"/>
      <c r="H152" s="10" t="str">
        <f>IF(OR(F152="",G152=""),"",F152&amp;" - "&amp;G152)</f>
        <v/>
      </c>
      <c r="J152" s="9"/>
    </row>
    <row r="153" spans="1:10" x14ac:dyDescent="0.25">
      <c r="A153" s="9"/>
      <c r="D153" s="10" t="str">
        <f>IF(OR(A153="",B153=""),"",A153&amp;" - "&amp;B153)</f>
        <v/>
      </c>
      <c r="F153" s="9"/>
      <c r="H153" s="10" t="str">
        <f>IF(OR(F153="",G153=""),"",F153&amp;" - "&amp;G153)</f>
        <v/>
      </c>
      <c r="J153" s="9"/>
    </row>
    <row r="154" spans="1:10" x14ac:dyDescent="0.25">
      <c r="A154" s="9"/>
      <c r="D154" s="10" t="str">
        <f>IF(OR(A154="",B154=""),"",A154&amp;" - "&amp;B154)</f>
        <v/>
      </c>
      <c r="F154" s="9"/>
      <c r="H154" s="10" t="str">
        <f>IF(OR(F154="",G154=""),"",F154&amp;" - "&amp;G154)</f>
        <v/>
      </c>
      <c r="J154" s="9"/>
    </row>
    <row r="155" spans="1:10" x14ac:dyDescent="0.25">
      <c r="A155" s="9"/>
      <c r="D155" s="10" t="str">
        <f>IF(OR(A155="",B155=""),"",A155&amp;" - "&amp;B155)</f>
        <v/>
      </c>
      <c r="F155" s="9"/>
      <c r="H155" s="10" t="str">
        <f>IF(OR(F155="",G155=""),"",F155&amp;" - "&amp;G155)</f>
        <v/>
      </c>
      <c r="J155" s="9"/>
    </row>
    <row r="156" spans="1:10" x14ac:dyDescent="0.25">
      <c r="A156" s="9"/>
      <c r="D156" s="10" t="str">
        <f>IF(OR(A156="",B156=""),"",A156&amp;" - "&amp;B156)</f>
        <v/>
      </c>
      <c r="F156" s="9"/>
      <c r="H156" s="10" t="str">
        <f>IF(OR(F156="",G156=""),"",F156&amp;" - "&amp;G156)</f>
        <v/>
      </c>
      <c r="J156" s="9"/>
    </row>
    <row r="157" spans="1:10" x14ac:dyDescent="0.25">
      <c r="A157" s="9"/>
      <c r="D157" s="10" t="str">
        <f>IF(OR(A157="",B157=""),"",A157&amp;" - "&amp;B157)</f>
        <v/>
      </c>
      <c r="F157" s="9"/>
      <c r="H157" s="10" t="str">
        <f>IF(OR(F157="",G157=""),"",F157&amp;" - "&amp;G157)</f>
        <v/>
      </c>
      <c r="J157" s="9"/>
    </row>
    <row r="158" spans="1:10" x14ac:dyDescent="0.25">
      <c r="A158" s="9"/>
      <c r="D158" s="10" t="str">
        <f>IF(OR(A158="",B158=""),"",A158&amp;" - "&amp;B158)</f>
        <v/>
      </c>
      <c r="F158" s="9"/>
      <c r="H158" s="10" t="str">
        <f>IF(OR(F158="",G158=""),"",F158&amp;" - "&amp;G158)</f>
        <v/>
      </c>
      <c r="J158" s="9"/>
    </row>
    <row r="159" spans="1:10" x14ac:dyDescent="0.25">
      <c r="A159" s="9"/>
      <c r="D159" s="10" t="str">
        <f>IF(OR(A159="",B159=""),"",A159&amp;" - "&amp;B159)</f>
        <v/>
      </c>
      <c r="F159" s="9"/>
      <c r="H159" s="10" t="str">
        <f>IF(OR(F159="",G159=""),"",F159&amp;" - "&amp;G159)</f>
        <v/>
      </c>
      <c r="J159" s="9"/>
    </row>
    <row r="160" spans="1:10" x14ac:dyDescent="0.25">
      <c r="A160" s="9"/>
      <c r="D160" s="10" t="str">
        <f>IF(OR(A160="",B160=""),"",A160&amp;" - "&amp;B160)</f>
        <v/>
      </c>
      <c r="F160" s="9"/>
      <c r="H160" s="10" t="str">
        <f>IF(OR(F160="",G160=""),"",F160&amp;" - "&amp;G160)</f>
        <v/>
      </c>
      <c r="J160" s="9"/>
    </row>
    <row r="161" spans="1:10" x14ac:dyDescent="0.25">
      <c r="A161" s="9"/>
      <c r="D161" s="10" t="str">
        <f>IF(OR(A161="",B161=""),"",A161&amp;" - "&amp;B161)</f>
        <v/>
      </c>
      <c r="F161" s="9"/>
      <c r="H161" s="10" t="str">
        <f>IF(OR(F161="",G161=""),"",F161&amp;" - "&amp;G161)</f>
        <v/>
      </c>
      <c r="J161" s="9"/>
    </row>
    <row r="162" spans="1:10" x14ac:dyDescent="0.25">
      <c r="A162" s="9"/>
      <c r="D162" s="10" t="str">
        <f>IF(OR(A162="",B162=""),"",A162&amp;" - "&amp;B162)</f>
        <v/>
      </c>
      <c r="F162" s="9"/>
      <c r="H162" s="10" t="str">
        <f>IF(OR(F162="",G162=""),"",F162&amp;" - "&amp;G162)</f>
        <v/>
      </c>
      <c r="J162" s="9"/>
    </row>
    <row r="163" spans="1:10" x14ac:dyDescent="0.25">
      <c r="A163" s="9"/>
      <c r="D163" s="10" t="str">
        <f>IF(OR(A163="",B163=""),"",A163&amp;" - "&amp;B163)</f>
        <v/>
      </c>
      <c r="F163" s="9"/>
      <c r="H163" s="10" t="str">
        <f>IF(OR(F163="",G163=""),"",F163&amp;" - "&amp;G163)</f>
        <v/>
      </c>
      <c r="J163" s="9"/>
    </row>
    <row r="164" spans="1:10" x14ac:dyDescent="0.25">
      <c r="A164" s="9"/>
      <c r="D164" s="10" t="str">
        <f>IF(OR(A164="",B164=""),"",A164&amp;" - "&amp;B164)</f>
        <v/>
      </c>
      <c r="F164" s="9"/>
      <c r="H164" s="10" t="str">
        <f>IF(OR(F164="",G164=""),"",F164&amp;" - "&amp;G164)</f>
        <v/>
      </c>
      <c r="J164" s="9"/>
    </row>
    <row r="165" spans="1:10" x14ac:dyDescent="0.25">
      <c r="A165" s="9"/>
      <c r="D165" s="10" t="str">
        <f>IF(OR(A165="",B165=""),"",A165&amp;" - "&amp;B165)</f>
        <v/>
      </c>
      <c r="F165" s="9"/>
      <c r="H165" s="10" t="str">
        <f>IF(OR(F165="",G165=""),"",F165&amp;" - "&amp;G165)</f>
        <v/>
      </c>
      <c r="J165" s="9"/>
    </row>
    <row r="166" spans="1:10" x14ac:dyDescent="0.25">
      <c r="A166" s="9"/>
      <c r="D166" s="10" t="str">
        <f>IF(OR(A166="",B166=""),"",A166&amp;" - "&amp;B166)</f>
        <v/>
      </c>
      <c r="F166" s="9"/>
      <c r="H166" s="10" t="str">
        <f>IF(OR(F166="",G166=""),"",F166&amp;" - "&amp;G166)</f>
        <v/>
      </c>
      <c r="J166" s="9"/>
    </row>
    <row r="167" spans="1:10" x14ac:dyDescent="0.25">
      <c r="A167" s="9"/>
      <c r="D167" s="10" t="str">
        <f>IF(OR(A167="",B167=""),"",A167&amp;" - "&amp;B167)</f>
        <v/>
      </c>
      <c r="F167" s="9"/>
      <c r="H167" s="10" t="str">
        <f>IF(OR(F167="",G167=""),"",F167&amp;" - "&amp;G167)</f>
        <v/>
      </c>
      <c r="J167" s="9"/>
    </row>
    <row r="168" spans="1:10" x14ac:dyDescent="0.25">
      <c r="A168" s="9"/>
      <c r="D168" s="10" t="str">
        <f>IF(OR(A168="",B168=""),"",A168&amp;" - "&amp;B168)</f>
        <v/>
      </c>
      <c r="F168" s="9"/>
      <c r="H168" s="10" t="str">
        <f>IF(OR(F168="",G168=""),"",F168&amp;" - "&amp;G168)</f>
        <v/>
      </c>
      <c r="J168" s="9"/>
    </row>
    <row r="169" spans="1:10" x14ac:dyDescent="0.25">
      <c r="A169" s="9"/>
      <c r="D169" s="10" t="str">
        <f>IF(OR(A169="",B169=""),"",A169&amp;" - "&amp;B169)</f>
        <v/>
      </c>
      <c r="F169" s="9"/>
      <c r="H169" s="10" t="str">
        <f>IF(OR(F169="",G169=""),"",F169&amp;" - "&amp;G169)</f>
        <v/>
      </c>
      <c r="J169" s="9"/>
    </row>
    <row r="170" spans="1:10" x14ac:dyDescent="0.25">
      <c r="A170" s="9"/>
      <c r="D170" s="10" t="str">
        <f>IF(OR(A170="",B170=""),"",A170&amp;" - "&amp;B170)</f>
        <v/>
      </c>
      <c r="F170" s="9"/>
      <c r="H170" s="10" t="str">
        <f>IF(OR(F170="",G170=""),"",F170&amp;" - "&amp;G170)</f>
        <v/>
      </c>
      <c r="J170" s="9"/>
    </row>
    <row r="171" spans="1:10" x14ac:dyDescent="0.25">
      <c r="A171" s="9"/>
      <c r="D171" s="10" t="str">
        <f>IF(OR(A171="",B171=""),"",A171&amp;" - "&amp;B171)</f>
        <v/>
      </c>
      <c r="F171" s="9"/>
      <c r="H171" s="10" t="str">
        <f>IF(OR(F171="",G171=""),"",F171&amp;" - "&amp;G171)</f>
        <v/>
      </c>
      <c r="J171" s="9"/>
    </row>
    <row r="172" spans="1:10" x14ac:dyDescent="0.25">
      <c r="A172" s="9"/>
      <c r="D172" s="10" t="str">
        <f>IF(OR(A172="",B172=""),"",A172&amp;" - "&amp;B172)</f>
        <v/>
      </c>
      <c r="F172" s="9"/>
      <c r="H172" s="10" t="str">
        <f>IF(OR(F172="",G172=""),"",F172&amp;" - "&amp;G172)</f>
        <v/>
      </c>
      <c r="J172" s="9"/>
    </row>
    <row r="173" spans="1:10" x14ac:dyDescent="0.25">
      <c r="A173" s="9"/>
      <c r="D173" s="10" t="str">
        <f>IF(OR(A173="",B173=""),"",A173&amp;" - "&amp;B173)</f>
        <v/>
      </c>
      <c r="F173" s="9"/>
      <c r="H173" s="10" t="str">
        <f>IF(OR(F173="",G173=""),"",F173&amp;" - "&amp;G173)</f>
        <v/>
      </c>
      <c r="J173" s="9"/>
    </row>
    <row r="174" spans="1:10" x14ac:dyDescent="0.25">
      <c r="A174" s="9"/>
      <c r="D174" s="10" t="str">
        <f>IF(OR(A174="",B174=""),"",A174&amp;" - "&amp;B174)</f>
        <v/>
      </c>
      <c r="F174" s="9"/>
      <c r="H174" s="10" t="str">
        <f>IF(OR(F174="",G174=""),"",F174&amp;" - "&amp;G174)</f>
        <v/>
      </c>
      <c r="J174" s="9"/>
    </row>
    <row r="175" spans="1:10" x14ac:dyDescent="0.25">
      <c r="A175" s="9"/>
      <c r="D175" s="10" t="str">
        <f>IF(OR(A175="",B175=""),"",A175&amp;" - "&amp;B175)</f>
        <v/>
      </c>
      <c r="F175" s="9"/>
      <c r="H175" s="10" t="str">
        <f>IF(OR(F175="",G175=""),"",F175&amp;" - "&amp;G175)</f>
        <v/>
      </c>
      <c r="J175" s="9"/>
    </row>
    <row r="176" spans="1:10" x14ac:dyDescent="0.25">
      <c r="A176" s="9"/>
      <c r="D176" s="10" t="str">
        <f>IF(OR(A176="",B176=""),"",A176&amp;" - "&amp;B176)</f>
        <v/>
      </c>
      <c r="F176" s="9"/>
      <c r="H176" s="10" t="str">
        <f>IF(OR(F176="",G176=""),"",F176&amp;" - "&amp;G176)</f>
        <v/>
      </c>
      <c r="J176" s="9"/>
    </row>
    <row r="177" spans="1:10" x14ac:dyDescent="0.25">
      <c r="A177" s="9"/>
      <c r="D177" s="10" t="str">
        <f>IF(OR(A177="",B177=""),"",A177&amp;" - "&amp;B177)</f>
        <v/>
      </c>
      <c r="F177" s="9"/>
      <c r="H177" s="10" t="str">
        <f>IF(OR(F177="",G177=""),"",F177&amp;" - "&amp;G177)</f>
        <v/>
      </c>
      <c r="J177" s="9"/>
    </row>
    <row r="178" spans="1:10" x14ac:dyDescent="0.25">
      <c r="A178" s="9"/>
      <c r="D178" s="10" t="str">
        <f>IF(OR(A178="",B178=""),"",A178&amp;" - "&amp;B178)</f>
        <v/>
      </c>
      <c r="F178" s="9"/>
      <c r="H178" s="10" t="str">
        <f>IF(OR(F178="",G178=""),"",F178&amp;" - "&amp;G178)</f>
        <v/>
      </c>
      <c r="J178" s="9"/>
    </row>
    <row r="179" spans="1:10" x14ac:dyDescent="0.25">
      <c r="A179" s="9"/>
      <c r="D179" s="10" t="str">
        <f>IF(OR(A179="",B179=""),"",A179&amp;" - "&amp;B179)</f>
        <v/>
      </c>
      <c r="F179" s="9"/>
      <c r="H179" s="10" t="str">
        <f>IF(OR(F179="",G179=""),"",F179&amp;" - "&amp;G179)</f>
        <v/>
      </c>
      <c r="J179" s="9"/>
    </row>
    <row r="180" spans="1:10" x14ac:dyDescent="0.25">
      <c r="A180" s="9"/>
      <c r="D180" s="10" t="str">
        <f>IF(OR(A180="",B180=""),"",A180&amp;" - "&amp;B180)</f>
        <v/>
      </c>
      <c r="F180" s="9"/>
      <c r="H180" s="10" t="str">
        <f>IF(OR(F180="",G180=""),"",F180&amp;" - "&amp;G180)</f>
        <v/>
      </c>
      <c r="J180" s="9"/>
    </row>
    <row r="181" spans="1:10" x14ac:dyDescent="0.25">
      <c r="A181" s="9"/>
      <c r="D181" s="10" t="str">
        <f>IF(OR(A181="",B181=""),"",A181&amp;" - "&amp;B181)</f>
        <v/>
      </c>
      <c r="F181" s="9"/>
      <c r="H181" s="10" t="str">
        <f>IF(OR(F181="",G181=""),"",F181&amp;" - "&amp;G181)</f>
        <v/>
      </c>
      <c r="J181" s="9"/>
    </row>
    <row r="182" spans="1:10" x14ac:dyDescent="0.25">
      <c r="A182" s="9"/>
      <c r="D182" s="10" t="str">
        <f>IF(OR(A182="",B182=""),"",A182&amp;" - "&amp;B182)</f>
        <v/>
      </c>
      <c r="F182" s="9"/>
      <c r="H182" s="10" t="str">
        <f>IF(OR(F182="",G182=""),"",F182&amp;" - "&amp;G182)</f>
        <v/>
      </c>
      <c r="J182" s="9"/>
    </row>
    <row r="183" spans="1:10" x14ac:dyDescent="0.25">
      <c r="A183" s="9"/>
      <c r="D183" s="10" t="str">
        <f>IF(OR(A183="",B183=""),"",A183&amp;" - "&amp;B183)</f>
        <v/>
      </c>
      <c r="F183" s="9"/>
      <c r="H183" s="10" t="str">
        <f>IF(OR(F183="",G183=""),"",F183&amp;" - "&amp;G183)</f>
        <v/>
      </c>
      <c r="J183" s="9"/>
    </row>
    <row r="184" spans="1:10" x14ac:dyDescent="0.25">
      <c r="A184" s="9"/>
      <c r="D184" s="10" t="str">
        <f>IF(OR(A184="",B184=""),"",A184&amp;" - "&amp;B184)</f>
        <v/>
      </c>
      <c r="F184" s="9"/>
      <c r="H184" s="10" t="str">
        <f>IF(OR(F184="",G184=""),"",F184&amp;" - "&amp;G184)</f>
        <v/>
      </c>
      <c r="J184" s="9"/>
    </row>
    <row r="185" spans="1:10" x14ac:dyDescent="0.25">
      <c r="A185" s="9"/>
      <c r="D185" s="10" t="str">
        <f>IF(OR(A185="",B185=""),"",A185&amp;" - "&amp;B185)</f>
        <v/>
      </c>
      <c r="F185" s="9"/>
      <c r="H185" s="10" t="str">
        <f>IF(OR(F185="",G185=""),"",F185&amp;" - "&amp;G185)</f>
        <v/>
      </c>
      <c r="J185" s="9"/>
    </row>
    <row r="186" spans="1:10" x14ac:dyDescent="0.25">
      <c r="A186" s="9"/>
      <c r="D186" s="10" t="str">
        <f>IF(OR(A186="",B186=""),"",A186&amp;" - "&amp;B186)</f>
        <v/>
      </c>
      <c r="F186" s="9"/>
      <c r="H186" s="10" t="str">
        <f>IF(OR(F186="",G186=""),"",F186&amp;" - "&amp;G186)</f>
        <v/>
      </c>
      <c r="J186" s="9"/>
    </row>
    <row r="187" spans="1:10" x14ac:dyDescent="0.25">
      <c r="A187" s="9"/>
      <c r="D187" s="10" t="str">
        <f>IF(OR(A187="",B187=""),"",A187&amp;" - "&amp;B187)</f>
        <v/>
      </c>
      <c r="F187" s="9"/>
      <c r="H187" s="10" t="str">
        <f>IF(OR(F187="",G187=""),"",F187&amp;" - "&amp;G187)</f>
        <v/>
      </c>
      <c r="J187" s="9"/>
    </row>
    <row r="188" spans="1:10" x14ac:dyDescent="0.25">
      <c r="A188" s="9"/>
      <c r="D188" s="10" t="str">
        <f>IF(OR(A188="",B188=""),"",A188&amp;" - "&amp;B188)</f>
        <v/>
      </c>
      <c r="F188" s="9"/>
      <c r="H188" s="10" t="str">
        <f>IF(OR(F188="",G188=""),"",F188&amp;" - "&amp;G188)</f>
        <v/>
      </c>
      <c r="J188" s="9"/>
    </row>
    <row r="189" spans="1:10" x14ac:dyDescent="0.25">
      <c r="A189" s="9"/>
      <c r="D189" s="10" t="str">
        <f>IF(OR(A189="",B189=""),"",A189&amp;" - "&amp;B189)</f>
        <v/>
      </c>
      <c r="F189" s="9"/>
      <c r="H189" s="10" t="str">
        <f>IF(OR(F189="",G189=""),"",F189&amp;" - "&amp;G189)</f>
        <v/>
      </c>
      <c r="J189" s="9"/>
    </row>
    <row r="190" spans="1:10" x14ac:dyDescent="0.25">
      <c r="A190" s="9"/>
      <c r="D190" s="10" t="str">
        <f>IF(OR(A190="",B190=""),"",A190&amp;" - "&amp;B190)</f>
        <v/>
      </c>
      <c r="F190" s="9"/>
      <c r="H190" s="10" t="str">
        <f>IF(OR(F190="",G190=""),"",F190&amp;" - "&amp;G190)</f>
        <v/>
      </c>
      <c r="J190" s="9"/>
    </row>
    <row r="191" spans="1:10" x14ac:dyDescent="0.25">
      <c r="A191" s="9"/>
      <c r="D191" s="10" t="str">
        <f>IF(OR(A191="",B191=""),"",A191&amp;" - "&amp;B191)</f>
        <v/>
      </c>
      <c r="F191" s="9"/>
      <c r="H191" s="10" t="str">
        <f>IF(OR(F191="",G191=""),"",F191&amp;" - "&amp;G191)</f>
        <v/>
      </c>
      <c r="J191" s="9"/>
    </row>
    <row r="192" spans="1:10" x14ac:dyDescent="0.25">
      <c r="A192" s="9"/>
      <c r="D192" s="10" t="str">
        <f>IF(OR(A192="",B192=""),"",A192&amp;" - "&amp;B192)</f>
        <v/>
      </c>
      <c r="F192" s="9"/>
      <c r="H192" s="10" t="str">
        <f>IF(OR(F192="",G192=""),"",F192&amp;" - "&amp;G192)</f>
        <v/>
      </c>
      <c r="J192" s="9"/>
    </row>
    <row r="193" spans="1:10" x14ac:dyDescent="0.25">
      <c r="A193" s="9"/>
      <c r="D193" s="10" t="str">
        <f>IF(OR(A193="",B193=""),"",A193&amp;" - "&amp;B193)</f>
        <v/>
      </c>
      <c r="F193" s="9"/>
      <c r="H193" s="10" t="str">
        <f>IF(OR(F193="",G193=""),"",F193&amp;" - "&amp;G193)</f>
        <v/>
      </c>
      <c r="J193" s="9"/>
    </row>
    <row r="194" spans="1:10" x14ac:dyDescent="0.25">
      <c r="A194" s="9"/>
      <c r="D194" s="10" t="str">
        <f>IF(OR(A194="",B194=""),"",A194&amp;" - "&amp;B194)</f>
        <v/>
      </c>
      <c r="F194" s="9"/>
      <c r="H194" s="10" t="str">
        <f>IF(OR(F194="",G194=""),"",F194&amp;" - "&amp;G194)</f>
        <v/>
      </c>
      <c r="J194" s="9"/>
    </row>
    <row r="195" spans="1:10" x14ac:dyDescent="0.25">
      <c r="A195" s="9"/>
      <c r="D195" s="10" t="str">
        <f>IF(OR(A195="",B195=""),"",A195&amp;" - "&amp;B195)</f>
        <v/>
      </c>
      <c r="F195" s="9"/>
      <c r="H195" s="10" t="str">
        <f>IF(OR(F195="",G195=""),"",F195&amp;" - "&amp;G195)</f>
        <v/>
      </c>
      <c r="J195" s="9"/>
    </row>
    <row r="196" spans="1:10" x14ac:dyDescent="0.25">
      <c r="A196" s="9"/>
      <c r="D196" s="10" t="str">
        <f>IF(OR(A196="",B196=""),"",A196&amp;" - "&amp;B196)</f>
        <v/>
      </c>
      <c r="F196" s="9"/>
      <c r="H196" s="10" t="str">
        <f>IF(OR(F196="",G196=""),"",F196&amp;" - "&amp;G196)</f>
        <v/>
      </c>
      <c r="J196" s="9"/>
    </row>
    <row r="197" spans="1:10" x14ac:dyDescent="0.25">
      <c r="A197" s="9"/>
      <c r="D197" s="10" t="str">
        <f>IF(OR(A197="",B197=""),"",A197&amp;" - "&amp;B197)</f>
        <v/>
      </c>
      <c r="F197" s="9"/>
      <c r="H197" s="10" t="str">
        <f>IF(OR(F197="",G197=""),"",F197&amp;" - "&amp;G197)</f>
        <v/>
      </c>
      <c r="J197" s="9"/>
    </row>
    <row r="198" spans="1:10" x14ac:dyDescent="0.25">
      <c r="A198" s="9"/>
      <c r="D198" s="10" t="str">
        <f>IF(OR(A198="",B198=""),"",A198&amp;" - "&amp;B198)</f>
        <v/>
      </c>
      <c r="F198" s="9"/>
      <c r="H198" s="10" t="str">
        <f>IF(OR(F198="",G198=""),"",F198&amp;" - "&amp;G198)</f>
        <v/>
      </c>
      <c r="J198" s="9"/>
    </row>
    <row r="199" spans="1:10" x14ac:dyDescent="0.25">
      <c r="A199" s="9"/>
      <c r="D199" s="10" t="str">
        <f>IF(OR(A199="",B199=""),"",A199&amp;" - "&amp;B199)</f>
        <v/>
      </c>
      <c r="F199" s="9"/>
      <c r="H199" s="10" t="str">
        <f>IF(OR(F199="",G199=""),"",F199&amp;" - "&amp;G199)</f>
        <v/>
      </c>
      <c r="J199" s="9"/>
    </row>
    <row r="200" spans="1:10" x14ac:dyDescent="0.25">
      <c r="A200" s="9"/>
      <c r="D200" s="10" t="str">
        <f>IF(OR(A200="",B200=""),"",A200&amp;" - "&amp;B200)</f>
        <v/>
      </c>
      <c r="F200" s="9"/>
      <c r="H200" s="10" t="str">
        <f>IF(OR(F200="",G200=""),"",F200&amp;" - "&amp;G200)</f>
        <v/>
      </c>
      <c r="J200" s="9"/>
    </row>
    <row r="201" spans="1:10" x14ac:dyDescent="0.25">
      <c r="A201" s="9"/>
      <c r="D201" s="10" t="str">
        <f>IF(OR(A201="",B201=""),"",A201&amp;" - "&amp;B201)</f>
        <v/>
      </c>
      <c r="F201" s="9"/>
      <c r="H201" s="10" t="str">
        <f>IF(OR(F201="",G201=""),"",F201&amp;" - "&amp;G201)</f>
        <v/>
      </c>
      <c r="J201" s="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35"/>
  <sheetFormatPr defaultRowHeight="15" outlineLevelRow="0" outlineLevelCol="0" x14ac:dyDescent="55"/>
  <cols>
    <col min="1" max="1" width="4" customWidth="1"/>
    <col min="2" max="2" width="26" customWidth="1"/>
    <col min="3" max="3" width="95" customWidth="1"/>
  </cols>
  <sheetData>
    <row r="1" spans="2:3" x14ac:dyDescent="0.25">
      <c r="B1" s="15" t="s">
        <v>139</v>
      </c>
      <c r="C1" s="12"/>
    </row>
    <row r="3" spans="2:3" x14ac:dyDescent="0.25">
      <c r="B3" s="16" t="s">
        <v>140</v>
      </c>
      <c r="C3" s="17"/>
    </row>
    <row r="4" spans="2:3" x14ac:dyDescent="0.25">
      <c r="B4" s="12" t="s">
        <v>141</v>
      </c>
      <c r="C4" s="12" t="s">
        <v>142</v>
      </c>
    </row>
    <row r="5" spans="2:3" x14ac:dyDescent="0.25">
      <c r="B5" s="12" t="s">
        <v>143</v>
      </c>
      <c r="C5" s="12" t="s">
        <v>144</v>
      </c>
    </row>
    <row r="6" spans="2:3" x14ac:dyDescent="0.25">
      <c r="B6" s="12" t="s">
        <v>145</v>
      </c>
      <c r="C6" s="12" t="s">
        <v>146</v>
      </c>
    </row>
    <row r="7" spans="2:3" x14ac:dyDescent="0.25">
      <c r="B7" s="12" t="s">
        <v>147</v>
      </c>
      <c r="C7" s="12" t="s">
        <v>148</v>
      </c>
    </row>
    <row r="9" spans="2:3" x14ac:dyDescent="0.25">
      <c r="B9" s="16" t="s">
        <v>149</v>
      </c>
      <c r="C9" s="17"/>
    </row>
    <row r="10" spans="2:3" x14ac:dyDescent="0.25">
      <c r="B10" s="12" t="s">
        <v>5</v>
      </c>
      <c r="C10" s="12" t="s">
        <v>150</v>
      </c>
    </row>
    <row r="11" spans="2:3" x14ac:dyDescent="0.25">
      <c r="B11" s="12" t="s">
        <v>151</v>
      </c>
      <c r="C11" s="12" t="s">
        <v>152</v>
      </c>
    </row>
    <row r="12" spans="2:3" x14ac:dyDescent="0.25">
      <c r="B12" s="12" t="s">
        <v>153</v>
      </c>
      <c r="C12" s="12" t="s">
        <v>154</v>
      </c>
    </row>
    <row r="13" spans="2:3" x14ac:dyDescent="0.25">
      <c r="B13" s="12" t="s">
        <v>155</v>
      </c>
      <c r="C13" s="12" t="s">
        <v>156</v>
      </c>
    </row>
    <row r="14" spans="2:3" x14ac:dyDescent="0.25">
      <c r="B14" s="12" t="s">
        <v>39</v>
      </c>
      <c r="C14" s="12" t="s">
        <v>157</v>
      </c>
    </row>
    <row r="15" spans="2:3" x14ac:dyDescent="0.25">
      <c r="B15" s="12" t="s">
        <v>19</v>
      </c>
      <c r="C15" s="12" t="s">
        <v>158</v>
      </c>
    </row>
    <row r="16" spans="2:3" x14ac:dyDescent="0.25">
      <c r="B16" s="12" t="s">
        <v>159</v>
      </c>
      <c r="C16" s="12" t="s">
        <v>160</v>
      </c>
    </row>
    <row r="17" spans="2:3" x14ac:dyDescent="0.25">
      <c r="B17" s="12" t="s">
        <v>161</v>
      </c>
      <c r="C17" s="12" t="s">
        <v>162</v>
      </c>
    </row>
    <row r="18" spans="2:3" x14ac:dyDescent="0.25">
      <c r="B18" s="12" t="s">
        <v>163</v>
      </c>
      <c r="C18" s="12" t="s">
        <v>164</v>
      </c>
    </row>
    <row r="19" spans="2:3" x14ac:dyDescent="0.25">
      <c r="B19" s="12" t="s">
        <v>165</v>
      </c>
      <c r="C19" s="12" t="s">
        <v>166</v>
      </c>
    </row>
    <row r="21" spans="2:3" x14ac:dyDescent="0.25">
      <c r="B21" s="16" t="s">
        <v>167</v>
      </c>
      <c r="C21" s="17"/>
    </row>
    <row r="22" spans="2:3" x14ac:dyDescent="0.25">
      <c r="B22" s="18" t="s">
        <v>168</v>
      </c>
      <c r="C22" s="12" t="s">
        <v>169</v>
      </c>
    </row>
    <row r="23" spans="2:3" x14ac:dyDescent="0.25">
      <c r="B23" s="19" t="s">
        <v>170</v>
      </c>
      <c r="C23" s="12" t="s">
        <v>171</v>
      </c>
    </row>
    <row r="24" spans="2:3" x14ac:dyDescent="0.25">
      <c r="B24" s="19" t="s">
        <v>172</v>
      </c>
      <c r="C24" s="12" t="s">
        <v>173</v>
      </c>
    </row>
    <row r="25" spans="2:3" x14ac:dyDescent="0.25">
      <c r="B25" s="19" t="s">
        <v>23</v>
      </c>
      <c r="C25" s="12" t="s">
        <v>174</v>
      </c>
    </row>
    <row r="26" spans="2:3" x14ac:dyDescent="0.25">
      <c r="B26" s="19" t="s">
        <v>24</v>
      </c>
      <c r="C26" s="12" t="s">
        <v>175</v>
      </c>
    </row>
    <row r="27" spans="2:3" x14ac:dyDescent="0.25">
      <c r="B27" s="19" t="s">
        <v>176</v>
      </c>
      <c r="C27" s="12" t="s">
        <v>177</v>
      </c>
    </row>
    <row r="28" spans="2:3" x14ac:dyDescent="0.25">
      <c r="B28" s="19" t="s">
        <v>178</v>
      </c>
      <c r="C28" s="12" t="s">
        <v>179</v>
      </c>
    </row>
    <row r="29" spans="2:3" x14ac:dyDescent="0.25">
      <c r="B29" s="19" t="s">
        <v>29</v>
      </c>
      <c r="C29" s="12" t="s">
        <v>180</v>
      </c>
    </row>
    <row r="30" spans="2:3" x14ac:dyDescent="0.25">
      <c r="B30" s="19" t="s">
        <v>181</v>
      </c>
      <c r="C30" s="12" t="s">
        <v>182</v>
      </c>
    </row>
    <row r="31" spans="2:3" x14ac:dyDescent="0.25">
      <c r="B31" s="19" t="s">
        <v>20</v>
      </c>
      <c r="C31" s="12" t="s">
        <v>183</v>
      </c>
    </row>
    <row r="32" spans="2:3" x14ac:dyDescent="0.25">
      <c r="B32" s="19" t="s">
        <v>184</v>
      </c>
      <c r="C32" s="12" t="s">
        <v>185</v>
      </c>
    </row>
    <row r="33" spans="2:3" x14ac:dyDescent="0.25">
      <c r="B33" s="19" t="s">
        <v>34</v>
      </c>
      <c r="C33" s="12" t="s">
        <v>186</v>
      </c>
    </row>
    <row r="34" spans="2:3" x14ac:dyDescent="0.25">
      <c r="B34" s="19" t="s">
        <v>35</v>
      </c>
      <c r="C34" s="12" t="s">
        <v>187</v>
      </c>
    </row>
    <row r="35" spans="2:3" x14ac:dyDescent="0.25">
      <c r="B35" s="12"/>
      <c r="C35" s="12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Carga_de_Productos</vt:lpstr>
      <vt:lpstr>Modelos</vt:lpstr>
      <vt:lpstr>Diccionarios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BairesYa</dc:creator>
  <dc:title/>
  <dc:subject/>
  <dc:description/>
  <cp:keywords/>
  <cp:category/>
  <cp:lastModifiedBy>Unknown</cp:lastModifiedBy>
  <dcterms:created xsi:type="dcterms:W3CDTF">2026-10-29T22:00:41Z</dcterms:created>
  <dcterms:modified xsi:type="dcterms:W3CDTF">2026-10-29T22:00:41Z</dcterms:modified>
</cp:coreProperties>
</file>